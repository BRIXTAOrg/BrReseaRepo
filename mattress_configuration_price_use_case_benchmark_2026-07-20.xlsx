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cbffcc0a0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87b22e529a4d4905"/>
    <x:sheet xmlns:r="http://schemas.openxmlformats.org/officeDocument/2006/relationships" name="Competitive Matrix" sheetId="2" r:id="Rcbe7caf351b647a2"/>
    <x:sheet xmlns:r="http://schemas.openxmlformats.org/officeDocument/2006/relationships" name="Brand Summary" sheetId="3" r:id="Rc9dbb4b4505842f6"/>
    <x:sheet xmlns:r="http://schemas.openxmlformats.org/officeDocument/2006/relationships" name="Material Taxonomy" sheetId="4" r:id="R77b92b33710f4b4e"/>
    <x:sheet xmlns:r="http://schemas.openxmlformats.org/officeDocument/2006/relationships" name="Research &amp; Archive Plan" sheetId="5" r:id="Rf8d48399d73540ba"/>
    <x:sheet xmlns:r="http://schemas.openxmlformats.org/officeDocument/2006/relationships" name="Hidden BOM Test Plan" sheetId="6" r:id="R1fdeb660667c48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₹#,##0"/>
    <x:numFmt numFmtId="201" formatCode="0%"/>
    <x:numFmt numFmtId="202" formatCode="yyyy-mm-dd"/>
    <x:numFmt numFmtId="203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63238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34E70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b064eeb83e433b" /><Relationship Type="http://schemas.openxmlformats.org/officeDocument/2006/relationships/theme" Target="/xl/theme/theme1.xml" Id="Rfc434ef051704f6a" /><Relationship Type="http://schemas.openxmlformats.org/officeDocument/2006/relationships/sharedStrings" Target="/xl/sharedStrings.xml" Id="R6f35d546c6654492" /><Relationship Type="http://schemas.openxmlformats.org/officeDocument/2006/relationships/worksheet" Target="/xl/worksheets/sheet1.xml" Id="R87b22e529a4d4905" /><Relationship Type="http://schemas.openxmlformats.org/officeDocument/2006/relationships/worksheet" Target="/xl/worksheets/sheet2.xml" Id="Rcbe7caf351b647a2" /><Relationship Type="http://schemas.openxmlformats.org/officeDocument/2006/relationships/worksheet" Target="/xl/worksheets/sheet3.xml" Id="Rc9dbb4b4505842f6" /><Relationship Type="http://schemas.openxmlformats.org/officeDocument/2006/relationships/worksheet" Target="/xl/worksheets/sheet4.xml" Id="R77b92b33710f4b4e" /><Relationship Type="http://schemas.openxmlformats.org/officeDocument/2006/relationships/worksheet" Target="/xl/worksheets/sheet5.xml" Id="Rf8d48399d73540ba" /><Relationship Type="http://schemas.openxmlformats.org/officeDocument/2006/relationships/worksheet" Target="/xl/worksheets/sheet6.xml" Id="R1fdeb660667c48c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d054fde9f840b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Observed Price Range by Brand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Lowest observed price</c:v>
          </c:tx>
          <c:cat>
            <c:strRef>
              <c:f>'Brand Summary'!$A$2:$A$5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'Brand Summary'!$D$2:$D$5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Highest observed price</c:v>
          </c:tx>
          <c:cat>
            <c:strRef>
              <c:f>'Brand Summary'!$A$2:$A$5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'Brand Summary'!$E$2:$E$5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d054fde9f840b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petitiveMatrixTable" displayName="CompetitiveMatrixTable" ref="A1:S26" headerRowCount="1">
  <x:tableColumns count="19">
    <x:tableColumn id="1" name="Brand"/>
    <x:tableColumn id="2" name="Model"/>
    <x:tableColumn id="3" name="Architecture"/>
    <x:tableColumn id="4" name="Publicly disclosed layer stack (top → bottom)"/>
    <x:tableColumn id="5" name="Primary support core"/>
    <x:tableColumn id="6" name="Firmness"/>
    <x:tableColumn id="7" name="Thickness"/>
    <x:tableColumn id="8" name="Observed price (₹)"/>
    <x:tableColumn id="9" name="MRP / list price (₹)"/>
    <x:tableColumn id="10" name="Discount"/>
    <x:tableColumn id="11" name="Price basis / variant"/>
    <x:tableColumn id="12" name="Primary use case"/>
    <x:tableColumn id="13" name="Likely sleeper fit (analytical inference)"/>
    <x:tableColumn id="14" name="Warranty / trial"/>
    <x:tableColumn id="15" name="Disclosure confidence"/>
    <x:tableColumn id="16" name="Critical specifications still missing"/>
    <x:tableColumn id="17" name="Official / primary source"/>
    <x:tableColumn id="18" name="Secondary price or construction source"/>
    <x:tableColumn id="19" name="Checked date"/>
  </x:tableColumns>
  <x:tableStyleInfo name="TableStyleMedium2" showRowStripes="1"/>
</x:table>
</file>

<file path=xl/tables/table2.xml><?xml version="1.0" encoding="utf-8"?>
<x:table xmlns:x="http://schemas.openxmlformats.org/spreadsheetml/2006/main" id="2" name="BrandSummaryTable" displayName="BrandSummaryTable" ref="A1:H5" headerRowCount="1">
  <x:tableColumns count="8">
    <x:tableColumn id="1" name="Brand"/>
    <x:tableColumn id="2" name="Models in matrix"/>
    <x:tableColumn id="3" name="Median observed price (₹)"/>
    <x:tableColumn id="4" name="Lowest observed price (₹)"/>
    <x:tableColumn id="5" name="Highest observed price (₹)"/>
    <x:tableColumn id="6" name="Dominant architectures represented"/>
    <x:tableColumn id="7" name="Public disclosure quality"/>
    <x:tableColumn id="8" name="Strategic read"/>
  </x:tableColumns>
  <x:tableStyleInfo name="TableStyleMedium2" showRowStripes="1"/>
</x:table>
</file>

<file path=xl/tables/table3.xml><?xml version="1.0" encoding="utf-8"?>
<x:table xmlns:x="http://schemas.openxmlformats.org/spreadsheetml/2006/main" id="3" name="MaterialTaxonomyTable" displayName="MaterialTaxonomyTable" ref="A1:H14" headerRowCount="1">
  <x:tableColumns count="8">
    <x:tableColumn id="1" name="Material / component"/>
    <x:tableColumn id="2" name="Role in mattress"/>
    <x:tableColumn id="3" name="Typical mechanical behavior"/>
    <x:tableColumn id="4" name="Thermal / moisture behavior"/>
    <x:tableColumn id="5" name="Motion isolation"/>
    <x:tableColumn id="6" name="Durability risk"/>
    <x:tableColumn id="7" name="What to measure before copying"/>
    <x:tableColumn id="8" name="Common public wording"/>
  </x:tableColumns>
  <x:tableStyleInfo name="TableStyleMedium2" showRowStripes="1"/>
</x:table>
</file>

<file path=xl/tables/table4.xml><?xml version="1.0" encoding="utf-8"?>
<x:table xmlns:x="http://schemas.openxmlformats.org/spreadsheetml/2006/main" id="4" name="ResearchPlanTable" displayName="ResearchPlanTable" ref="A1:G14" headerRowCount="1">
  <x:tableColumns count="7">
    <x:tableColumn id="1" name="Source / method"/>
    <x:tableColumn id="2" name="What it reveals"/>
    <x:tableColumn id="3" name="Reliability"/>
    <x:tableColumn id="4" name="How to execute"/>
    <x:tableColumn id="5" name="Archive query / example"/>
    <x:tableColumn id="6" name="Main limitation"/>
    <x:tableColumn id="7" name="Priority"/>
  </x:tableColumns>
  <x:tableStyleInfo name="TableStyleMedium2" showRowStripes="1"/>
</x:table>
</file>

<file path=xl/tables/table5.xml><?xml version="1.0" encoding="utf-8"?>
<x:table xmlns:x="http://schemas.openxmlformats.org/spreadsheetml/2006/main" id="5" name="HiddenBOMTestTable" displayName="HiddenBOMTestTable" ref="A1:G16" headerRowCount="1">
  <x:tableColumns count="7">
    <x:tableColumn id="1" name="Unknown specification"/>
    <x:tableColumn id="2" name="Why it matters"/>
    <x:tableColumn id="3" name="Measurement / test"/>
    <x:tableColumn id="4" name="Output unit"/>
    <x:tableColumn id="5" name="Minimum sampling plan"/>
    <x:tableColumn id="6" name="Decision use"/>
    <x:tableColumn id="7" name="Prio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bce9a7299c43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06042275bd6e4c65" /><Relationship Type="http://schemas.openxmlformats.org/officeDocument/2006/relationships/table" Target="/xl/tables/table2.xml" Id="R16bbb48c05c146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2986614d2c48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b91018732946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4ddb375e1ec4368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5" t="str">
        <x:v>Mattress Construction Intelligence — India Competitive Benchmark</x:v>
      </x:c>
      <x:c r="B1" s="5"/>
      <x:c r="C1" s="5"/>
      <x:c r="D1" s="5"/>
      <x:c r="E1" s="5"/>
      <x:c r="F1" s="5"/>
      <x:c r="G1" s="5"/>
      <x:c r="H1" s="5"/>
    </x:row>
    <x:row r="2" ht="44" customHeight="1">
      <x:c r="A2" s="13" t="str">
        <x:v>Scope: public configuration, current observed pricing, intended use, disclosure gaps, and a plan to recover the hidden technical BOM. Prices are variant-dependent and were checked on 20 July 2026.</x:v>
      </x:c>
      <x:c r="B2" s="13"/>
      <x:c r="C2" s="13"/>
      <x:c r="D2" s="13"/>
      <x:c r="E2" s="13"/>
      <x:c r="F2" s="13"/>
      <x:c r="G2" s="13"/>
      <x:c r="H2" s="13"/>
    </x:row>
    <x:row r="4">
      <x:c r="A4" s="26" t="str">
        <x:v>Metric</x:v>
      </x:c>
      <x:c r="B4" s="26" t="str">
        <x:v>Value</x:v>
      </x:c>
      <x:c r="C4" s="27"/>
      <x:c r="D4" s="26" t="str">
        <x:v>What the public data can answer</x:v>
      </x:c>
      <x:c r="E4" s="26" t="str"/>
      <x:c r="F4" s="26" t="str"/>
      <x:c r="G4" s="26" t="str"/>
      <x:c r="H4" s="26" t="str"/>
    </x:row>
    <x:row r="5" ht="27" customHeight="1">
      <x:c r="A5" s="27" t="str">
        <x:v>Models benchmarked</x:v>
      </x:c>
      <x:c r="B5" s="27" t="n">
        <x:f>COUNTA('Competitive Matrix'!B2:B26)</x:f>
        <x:v>25</x:v>
      </x:c>
      <x:c r="C5" s="27"/>
      <x:c r="D5" s="27" t="str">
        <x:v>Layer sequence and named material families</x:v>
      </x:c>
      <x:c r="E5" s="27" t="str"/>
      <x:c r="F5" s="27" t="str"/>
      <x:c r="G5" s="27" t="str"/>
      <x:c r="H5" s="27" t="str"/>
    </x:row>
    <x:row r="6" ht="27" customHeight="1">
      <x:c r="A6" s="27" t="str">
        <x:v>Brands</x:v>
      </x:c>
      <x:c r="B6" s="27" t="n">
        <x:f>COUNTA('Brand Summary'!A2:A5)</x:f>
        <x:v>4</x:v>
      </x:c>
      <x:c r="C6" s="27"/>
      <x:c r="D6" s="27" t="str">
        <x:v>Support architecture: foam / coir / latex / pocket spring / polymer grid</x:v>
      </x:c>
      <x:c r="E6" s="27" t="str"/>
      <x:c r="F6" s="27" t="str"/>
      <x:c r="G6" s="27" t="str"/>
      <x:c r="H6" s="27" t="str"/>
    </x:row>
    <x:row r="7" ht="27" customHeight="1">
      <x:c r="A7" s="27" t="str">
        <x:v>High-confidence constructions</x:v>
      </x:c>
      <x:c r="B7" s="27" t="n">
        <x:f>COUNTIF('Competitive Matrix'!O2:O26,"High")</x:f>
        <x:v>12</x:v>
      </x:c>
      <x:c r="C7" s="27"/>
      <x:c r="D7" s="27" t="str">
        <x:v>Firmness, marketed use case, thickness and warranty</x:v>
      </x:c>
      <x:c r="E7" s="27" t="str"/>
      <x:c r="F7" s="27" t="str"/>
      <x:c r="G7" s="27" t="str"/>
      <x:c r="H7" s="27" t="str"/>
    </x:row>
    <x:row r="8" ht="27" customHeight="1">
      <x:c r="A8" s="27" t="str">
        <x:v>Models with observed price</x:v>
      </x:c>
      <x:c r="B8" s="27" t="n">
        <x:f>COUNT('Competitive Matrix'!H2:H26)</x:f>
        <x:v>25</x:v>
      </x:c>
      <x:c r="C8" s="27"/>
      <x:c r="D8" s="27" t="str">
        <x:v>Observed price for a specific variant or advertised starting price</x:v>
      </x:c>
      <x:c r="E8" s="27" t="str"/>
      <x:c r="F8" s="27" t="str"/>
      <x:c r="G8" s="27" t="str"/>
      <x:c r="H8" s="27" t="str"/>
    </x:row>
    <x:row r="9" ht="27" customHeight="1">
      <x:c r="A9" s="27" t="str">
        <x:v>Median observed starting/variant price</x:v>
      </x:c>
      <x:c r="B9" s="30" t="n">
        <x:f>MEDIAN('Competitive Matrix'!H2:H26)</x:f>
        <x:v>16390</x:v>
      </x:c>
      <x:c r="C9" s="27"/>
      <x:c r="D9" s="27" t="str">
        <x:v>What it usually cannot answer: density, ILD, exact chemistry, spring gauge/count, adhesive and validated durability</x:v>
      </x:c>
      <x:c r="E9" s="27" t="str"/>
      <x:c r="F9" s="27" t="str"/>
      <x:c r="G9" s="27" t="str"/>
      <x:c r="H9" s="27" t="str"/>
    </x:row>
    <x:row r="10">
      <x:c r="A10" s="27"/>
      <x:c r="B10" s="27"/>
      <x:c r="C10" s="27"/>
      <x:c r="D10" s="27"/>
      <x:c r="E10" s="27"/>
      <x:c r="F10" s="27"/>
      <x:c r="G10" s="27"/>
      <x:c r="H10" s="27"/>
    </x:row>
    <x:row r="11">
      <x:c r="A11" s="27"/>
      <x:c r="B11" s="27"/>
      <x:c r="C11" s="27"/>
      <x:c r="D11" s="27"/>
      <x:c r="E11" s="27"/>
      <x:c r="F11" s="27"/>
      <x:c r="G11" s="27"/>
      <x:c r="H11" s="27"/>
    </x:row>
    <x:row r="12">
      <x:c r="A12" s="26" t="str">
        <x:v>Decision rule</x:v>
      </x:c>
      <x:c r="B12" s="26" t="str">
        <x:v>Meaning</x:v>
      </x:c>
      <x:c r="C12" s="26" t="str"/>
      <x:c r="D12" s="26" t="str"/>
      <x:c r="E12" s="26" t="str"/>
      <x:c r="F12" s="26" t="str"/>
      <x:c r="G12" s="26" t="str"/>
      <x:c r="H12" s="26" t="str"/>
    </x:row>
    <x:row r="13" ht="32" customHeight="1">
      <x:c r="A13" s="27" t="str">
        <x:v>High confidence</x:v>
      </x:c>
      <x:c r="B13" s="27" t="str">
        <x:v>Brand publishes an exploded layer stack and/or explicit layer thicknesses.</x:v>
      </x:c>
      <x:c r="C13" s="27" t="str"/>
      <x:c r="D13" s="27" t="str"/>
      <x:c r="E13" s="27" t="str"/>
      <x:c r="F13" s="27" t="str"/>
      <x:c r="G13" s="27" t="str"/>
      <x:c r="H13" s="27" t="str"/>
    </x:row>
    <x:row r="14" ht="32" customHeight="1">
      <x:c r="A14" s="27" t="str">
        <x:v>Medium confidence</x:v>
      </x:c>
      <x:c r="B14" s="27" t="str">
        <x:v>Layer families are disclosed, but exact order, thickness or technical grades are incomplete.</x:v>
      </x:c>
      <x:c r="C14" s="27" t="str"/>
      <x:c r="D14" s="27" t="str"/>
      <x:c r="E14" s="27" t="str"/>
      <x:c r="F14" s="27" t="str"/>
      <x:c r="G14" s="27" t="str"/>
      <x:c r="H14" s="27" t="str"/>
    </x:row>
    <x:row r="15" ht="32" customHeight="1">
      <x:c r="A15" s="27" t="str">
        <x:v>Low confidence</x:v>
      </x:c>
      <x:c r="B15" s="27" t="str">
        <x:v>Mostly marketing descriptors or marketplace summaries; teardown is required.</x:v>
      </x:c>
      <x:c r="C15" s="27" t="str"/>
      <x:c r="D15" s="27" t="str"/>
      <x:c r="E15" s="27" t="str"/>
      <x:c r="F15" s="27" t="str"/>
      <x:c r="G15" s="27" t="str"/>
      <x:c r="H15" s="27" t="str"/>
    </x:row>
    <x:row r="16" ht="32" customHeight="1">
      <x:c r="A16" s="27" t="str">
        <x:v>Price warning</x:v>
      </x:c>
      <x:c r="B16" s="27" t="str">
        <x:v>Do not compare prices without normalising length × width × thickness. The displayed price is tied to the basis column.</x:v>
      </x:c>
      <x:c r="C16" s="27" t="str"/>
      <x:c r="D16" s="27" t="str"/>
      <x:c r="E16" s="27" t="str"/>
      <x:c r="F16" s="27" t="str"/>
      <x:c r="G16" s="27" t="str"/>
      <x:c r="H16" s="27" t="str"/>
    </x:row>
    <x:row r="17" ht="32" customHeight="1">
      <x:c r="A17" s="27" t="str">
        <x:v>True BOM warning</x:v>
      </x:c>
      <x:c r="B17" s="27" t="str">
        <x:v>A complete manufacturing configuration is not publicly recoverable from websites alone.</x:v>
      </x:c>
      <x:c r="C17" s="27" t="str"/>
      <x:c r="D17" s="27" t="str"/>
      <x:c r="E17" s="27" t="str"/>
      <x:c r="F17" s="27" t="str"/>
      <x:c r="G17" s="27" t="str"/>
      <x:c r="H17" s="27" t="str"/>
    </x:row>
    <x:row r="18" ht="32" customHeight="1">
      <x:c r="A18" s="27" t="str">
        <x:v>Recommended next move</x:v>
      </x:c>
      <x:c r="B18" s="27" t="str">
        <x:v>Buy 1 representative SKU per architecture and perform a controlled teardown plus foam/spring testing.</x:v>
      </x:c>
      <x:c r="C18" s="27" t="str"/>
      <x:c r="D18" s="27" t="str"/>
      <x:c r="E18" s="27" t="str"/>
      <x:c r="F18" s="27" t="str"/>
      <x:c r="G18" s="27" t="str"/>
      <x:c r="H18" s="27" t="str"/>
    </x:row>
  </x:sheetData>
  <x:mergeCells>
    <x:mergeCell ref="A1:H1"/>
    <x:mergeCell ref="A2:H2"/>
    <x:mergeCell ref="D5:H5"/>
    <x:mergeCell ref="D6:H6"/>
    <x:mergeCell ref="D7:H7"/>
    <x:mergeCell ref="D8:H8"/>
    <x:mergeCell ref="D9:H9"/>
    <x:mergeCell ref="B13:H13"/>
    <x:mergeCell ref="B14:H14"/>
    <x:mergeCell ref="B15:H15"/>
    <x:mergeCell ref="B16:H16"/>
    <x:mergeCell ref="B17:H17"/>
    <x:mergeCell ref="B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23" hidden="0" customWidth="1"/>
    <x:col min="4" max="4" width="58" hidden="0" customWidth="1"/>
    <x:col min="5" max="5" width="27" hidden="0" customWidth="1"/>
    <x:col min="6" max="6" width="22" hidden="0" customWidth="1"/>
    <x:col min="7" max="7" width="18" hidden="0" customWidth="1"/>
    <x:col min="8" max="8" width="16" hidden="0" customWidth="1"/>
    <x:col min="9" max="9" width="16" hidden="0" customWidth="1"/>
    <x:col min="10" max="10" width="10" hidden="0" customWidth="1"/>
    <x:col min="11" max="11" width="30" hidden="0" customWidth="1"/>
    <x:col min="12" max="12" width="34" hidden="0" customWidth="1"/>
    <x:col min="13" max="13" width="42" hidden="0" customWidth="1"/>
    <x:col min="14" max="14" width="25" hidden="0" customWidth="1"/>
    <x:col min="15" max="15" width="18" hidden="0" customWidth="1"/>
    <x:col min="16" max="16" width="48" hidden="0" customWidth="1"/>
    <x:col min="17" max="17" width="42" hidden="0" customWidth="1"/>
    <x:col min="18" max="18" width="42" hidden="0" customWidth="1"/>
    <x:col min="19" max="19" width="13" hidden="0" customWidth="1"/>
  </x:cols>
  <x:sheetData>
    <x:row r="1" ht="44" customHeight="1">
      <x:c r="A1" s="33" t="str">
        <x:v>Brand</x:v>
      </x:c>
      <x:c r="B1" s="33" t="str">
        <x:v>Model</x:v>
      </x:c>
      <x:c r="C1" s="33" t="str">
        <x:v>Architecture</x:v>
      </x:c>
      <x:c r="D1" s="33" t="str">
        <x:v>Publicly disclosed layer stack (top → bottom)</x:v>
      </x:c>
      <x:c r="E1" s="33" t="str">
        <x:v>Primary support core</x:v>
      </x:c>
      <x:c r="F1" s="33" t="str">
        <x:v>Firmness</x:v>
      </x:c>
      <x:c r="G1" s="33" t="str">
        <x:v>Thickness</x:v>
      </x:c>
      <x:c r="H1" s="33" t="str">
        <x:v>Observed price (₹)</x:v>
      </x:c>
      <x:c r="I1" s="33" t="str">
        <x:v>MRP / list price (₹)</x:v>
      </x:c>
      <x:c r="J1" s="33" t="str">
        <x:v>Discount</x:v>
      </x:c>
      <x:c r="K1" s="33" t="str">
        <x:v>Price basis / variant</x:v>
      </x:c>
      <x:c r="L1" s="33" t="str">
        <x:v>Primary use case</x:v>
      </x:c>
      <x:c r="M1" s="33" t="str">
        <x:v>Likely sleeper fit (analytical inference)</x:v>
      </x:c>
      <x:c r="N1" s="33" t="str">
        <x:v>Warranty / trial</x:v>
      </x:c>
      <x:c r="O1" s="33" t="str">
        <x:v>Disclosure confidence</x:v>
      </x:c>
      <x:c r="P1" s="33" t="str">
        <x:v>Critical specifications still missing</x:v>
      </x:c>
      <x:c r="Q1" s="33" t="str">
        <x:v>Official / primary source</x:v>
      </x:c>
      <x:c r="R1" s="33" t="str">
        <x:v>Secondary price or construction source</x:v>
      </x:c>
      <x:c r="S1" s="33" t="str">
        <x:v>Checked date</x:v>
      </x:c>
    </x:row>
    <x:row r="2" ht="78" customHeight="1">
      <x:c r="A2" s="27" t="str">
        <x:v>Sleepwell</x:v>
      </x:c>
      <x:c r="B2" s="27" t="str">
        <x:v>Dual Mattress</x:v>
      </x:c>
      <x:c r="C2" s="27" t="str">
        <x:v>Reversible all-foam</x:v>
      </x:c>
      <x:c r="D2" s="27" t="str">
        <x:v>Reversible foam construction; one softer face and one firmer face. Exact foam grades and layer thicknesses are not published.</x:v>
      </x:c>
      <x:c r="E2" s="27" t="str">
        <x:v>HR / proprietary support foam</x:v>
      </x:c>
      <x:c r="F2" s="27" t="str">
        <x:v>Soft / Firm (dual-sided)</x:v>
      </x:c>
      <x:c r="G2" s="27" t="str">
        <x:v>4 in (observed listing)</x:v>
      </x:c>
      <x:c r="H2" s="30" t="n">
        <x:v>8399</x:v>
      </x:c>
      <x:c r="I2" s="30" t="n">
        <x:v>13230</x:v>
      </x:c>
      <x:c r="J2" s="36" t="n">
        <x:f>IF(OR(H2="",I2="",I2=0),"",1-H2/I2)</x:f>
        <x:v>0.36515495086923655</x:v>
      </x:c>
      <x:c r="K2" s="27" t="str">
        <x:v>King 72×72×4 in; current Flipkart observed price</x:v>
      </x:c>
      <x:c r="L2" s="27" t="str">
        <x:v>One mattress for users who alternate between softer and firmer feel</x:v>
      </x:c>
      <x:c r="M2" s="27" t="str">
        <x:v>Guest rooms, couples with changing comfort preference; not enough public data for body-weight matching</x:v>
      </x:c>
      <x:c r="N2" s="27" t="str">
        <x:v>10 years / 100-night trial claimed on listings</x:v>
      </x:c>
      <x:c r="O2" s="27" t="str">
        <x:v>Low</x:v>
      </x:c>
      <x:c r="P2" s="27" t="str">
        <x:v>Foam density, ILD/IFD, exact layer count and thickness, adhesive, compression-set performance</x:v>
      </x:c>
      <x:c r="Q2" s="27" t="str">
        <x:v>https://mysleepwell.com/detail/dual-mattress/676</x:v>
      </x:c>
      <x:c r="R2" s="27" t="str">
        <x:v>https://www.flipkart.com/q/sleepwell-mattress</x:v>
      </x:c>
      <x:c r="S2" s="38" t="n">
        <x:v>46223</x:v>
      </x:c>
    </x:row>
    <x:row r="3" ht="78" customHeight="1">
      <x:c r="A3" s="27" t="str">
        <x:v>Sleepwell</x:v>
      </x:c>
      <x:c r="B3" s="27" t="str">
        <x:v>Durafirm Classic</x:v>
      </x:c>
      <x:c r="C3" s="27" t="str">
        <x:v>Extra-firm bonded-foam</x:v>
      </x:c>
      <x:c r="D3" s="27" t="str">
        <x:v>Quiltec plush/quilted top → rebonded/bonded foam core → base fabric. Exact quilt and core thicknesses are not disclosed.</x:v>
      </x:c>
      <x:c r="E3" s="27" t="str">
        <x:v>Rebonded / bonded foam</x:v>
      </x:c>
      <x:c r="F3" s="27" t="str">
        <x:v>Extra firm</x:v>
      </x:c>
      <x:c r="G3" s="27" t="str">
        <x:v>5 in (observed listing)</x:v>
      </x:c>
      <x:c r="H3" s="30" t="n">
        <x:v>14649</x:v>
      </x:c>
      <x:c r="I3" s="30"/>
      <x:c r="J3" s="36" t="str">
        <x:f>IF(OR(H3="",I3="",I3=0),"",1-H3/I3)</x:f>
      </x:c>
      <x:c r="K3" s="27" t="str">
        <x:v>Double 5 in; current Flipkart price-list observation</x:v>
      </x:c>
      <x:c r="L3" s="27" t="str">
        <x:v>Low-cost hard sleeping surface and anti-sag positioning</x:v>
      </x:c>
      <x:c r="M3" s="27" t="str">
        <x:v>Back/stomach sleepers who explicitly prefer very firm support; may be harsh for lightweight side sleepers</x:v>
      </x:c>
      <x:c r="N3" s="27" t="str">
        <x:v>Varies by seller/model</x:v>
      </x:c>
      <x:c r="O3" s="27" t="str">
        <x:v>Medium</x:v>
      </x:c>
      <x:c r="P3" s="27" t="str">
        <x:v>Core density, rebound composition, bonding chemistry, fatigue life, edge firmness</x:v>
      </x:c>
      <x:c r="Q3" s="27" t="str">
        <x:v>https://mysleepwell.com/mattresses</x:v>
      </x:c>
      <x:c r="R3" s="27" t="str">
        <x:v>https://www.flipkart.com/q/sleepwell-mattress</x:v>
      </x:c>
      <x:c r="S3" s="38" t="n">
        <x:v>46223</x:v>
      </x:c>
    </x:row>
    <x:row r="4" ht="78" customHeight="1">
      <x:c r="A4" s="27" t="str">
        <x:v>Sleepwell</x:v>
      </x:c>
      <x:c r="B4" s="27" t="str">
        <x:v>Ortho Pro Spring</x:v>
      </x:c>
      <x:c r="C4" s="27" t="str">
        <x:v>Hybrid pocket-spring</x:v>
      </x:c>
      <x:c r="D4" s="27" t="str">
        <x:v>Euro-top quilt → Acuprofile / zoned comfort-support foam → triple-zone pocket spring unit → base/insulator.</x:v>
      </x:c>
      <x:c r="E4" s="27" t="str">
        <x:v>Triple-zone pocket springs</x:v>
      </x:c>
      <x:c r="F4" s="27" t="str">
        <x:v>Medium-firm / orthopedic</x:v>
      </x:c>
      <x:c r="G4" s="27" t="str">
        <x:v>6 in (observed listing)</x:v>
      </x:c>
      <x:c r="H4" s="30" t="n">
        <x:v>9299</x:v>
      </x:c>
      <x:c r="I4" s="30"/>
      <x:c r="J4" s="36" t="str">
        <x:f>IF(OR(H4="",I4="",I4=0),"",1-H4/I4)</x:f>
      </x:c>
      <x:c r="K4" s="27" t="str">
        <x:v>Single 6 in; current Flipkart price-list observation</x:v>
      </x:c>
      <x:c r="L4" s="27" t="str">
        <x:v>Orthopedic support with better motion isolation than Bonnell systems</x:v>
      </x:c>
      <x:c r="M4" s="27" t="str">
        <x:v>Couples, back sleepers and combination sleepers seeking responsive support</x:v>
      </x:c>
      <x:c r="N4" s="27" t="str">
        <x:v>Varies by seller/model</x:v>
      </x:c>
      <x:c r="O4" s="27" t="str">
        <x:v>Medium</x:v>
      </x:c>
      <x:c r="P4" s="27" t="str">
        <x:v>Spring count, wire gauge, coil height, foam density/ILD, edge system, felt specification</x:v>
      </x:c>
      <x:c r="Q4" s="27" t="str">
        <x:v>https://mysleepwell.com/mattresses</x:v>
      </x:c>
      <x:c r="R4" s="27" t="str">
        <x:v>https://www.flipkart.com/q/sleepwell-mattress</x:v>
      </x:c>
      <x:c r="S4" s="38" t="n">
        <x:v>46223</x:v>
      </x:c>
    </x:row>
    <x:row r="5" ht="78" customHeight="1">
      <x:c r="A5" s="27" t="str">
        <x:v>Sleepwell</x:v>
      </x:c>
      <x:c r="B5" s="27" t="str">
        <x:v>Ortho Pro Natural Latex</x:v>
      </x:c>
      <x:c r="C5" s="27" t="str">
        <x:v>Latex + foam</x:v>
      </x:c>
      <x:c r="D5" s="27" t="str">
        <x:v>Quilted top → natural-latex comfort layer → Resitec / HR support foam → base fabric.</x:v>
      </x:c>
      <x:c r="E5" s="27" t="str">
        <x:v>Resitec / HR foam</x:v>
      </x:c>
      <x:c r="F5" s="27" t="str">
        <x:v>Medium-firm / orthopedic</x:v>
      </x:c>
      <x:c r="G5" s="27" t="str">
        <x:v>6 in (observed listing)</x:v>
      </x:c>
      <x:c r="H5" s="30" t="n">
        <x:v>9699</x:v>
      </x:c>
      <x:c r="I5" s="30"/>
      <x:c r="J5" s="36" t="str">
        <x:f>IF(OR(H5="",I5="",I5=0),"",1-H5/I5)</x:f>
      </x:c>
      <x:c r="K5" s="27" t="str">
        <x:v>Single 6 in; current Flipkart price-list observation</x:v>
      </x:c>
      <x:c r="L5" s="27" t="str">
        <x:v>Responsive orthopedic comfort with more breathability than memory foam</x:v>
      </x:c>
      <x:c r="M5" s="27" t="str">
        <x:v>Back and combination sleepers; users who dislike slow memory-foam sink</x:v>
      </x:c>
      <x:c r="N5" s="27" t="str">
        <x:v>Varies by seller/model</x:v>
      </x:c>
      <x:c r="O5" s="27" t="str">
        <x:v>Medium</x:v>
      </x:c>
      <x:c r="P5" s="27" t="str">
        <x:v>Latex percentage and process, latex thickness/density, support-foam density, ILD, certifications</x:v>
      </x:c>
      <x:c r="Q5" s="27" t="str">
        <x:v>https://mysleepwell.com/mattresses</x:v>
      </x:c>
      <x:c r="R5" s="27" t="str">
        <x:v>https://www.flipkart.com/q/sleepwell-mattress</x:v>
      </x:c>
      <x:c r="S5" s="38" t="n">
        <x:v>46223</x:v>
      </x:c>
    </x:row>
    <x:row r="6" ht="78" customHeight="1">
      <x:c r="A6" s="27" t="str">
        <x:v>Sleepwell</x:v>
      </x:c>
      <x:c r="B6" s="27" t="str">
        <x:v>Pro FitRest</x:v>
      </x:c>
      <x:c r="C6" s="27" t="str">
        <x:v>Profiled all-foam orthopedic</x:v>
      </x:c>
      <x:c r="D6" s="27" t="str">
        <x:v>Double-layer Quiltec foam top → Acuprofiled HR / Resitec support layers → base fabric.</x:v>
      </x:c>
      <x:c r="E6" s="27" t="str">
        <x:v>Profiled HR / Resitec foam</x:v>
      </x:c>
      <x:c r="F6" s="27" t="str">
        <x:v>Medium-firm</x:v>
      </x:c>
      <x:c r="G6" s="27" t="str">
        <x:v>5 in (observed listing)</x:v>
      </x:c>
      <x:c r="H6" s="30" t="n">
        <x:v>12490</x:v>
      </x:c>
      <x:c r="I6" s="30"/>
      <x:c r="J6" s="36" t="str">
        <x:f>IF(OR(H6="",I6="",I6=0),"",1-H6/I6)</x:f>
      </x:c>
      <x:c r="K6" s="27" t="str">
        <x:v>Single 5 in; current Flipkart price-list observation</x:v>
      </x:c>
      <x:c r="L6" s="27" t="str">
        <x:v>Pressure distribution and zoned support without springs</x:v>
      </x:c>
      <x:c r="M6" s="27" t="str">
        <x:v>Back and combination sleepers; couples needing quiet motion behavior</x:v>
      </x:c>
      <x:c r="N6" s="27" t="str">
        <x:v>Up to 25 years on some FitRest variants; verify exact SKU</x:v>
      </x:c>
      <x:c r="O6" s="27" t="str">
        <x:v>Medium</x:v>
      </x:c>
      <x:c r="P6" s="27" t="str">
        <x:v>Exact five-layer order, density, ILD, profile geometry, test protocol behind warranty</x:v>
      </x:c>
      <x:c r="Q6" s="27" t="str">
        <x:v>https://mysleepwell.com/new</x:v>
      </x:c>
      <x:c r="R6" s="27" t="str">
        <x:v>https://www.flipkart.com/q/sleepwell-mattress</x:v>
      </x:c>
      <x:c r="S6" s="38" t="n">
        <x:v>46223</x:v>
      </x:c>
    </x:row>
    <x:row r="7" ht="78" customHeight="1">
      <x:c r="A7" s="27" t="str">
        <x:v>Sleepwell</x:v>
      </x:c>
      <x:c r="B7" s="27" t="str">
        <x:v>Ortho Genius Grid</x:v>
      </x:c>
      <x:c r="C7" s="27" t="str">
        <x:v>Grid + foam orthopedic</x:v>
      </x:c>
      <x:c r="D7" s="27" t="str">
        <x:v>Quilted cover → PU comfort layer → proprietary grid / ventilation structure → high-density support foam.</x:v>
      </x:c>
      <x:c r="E7" s="27" t="str">
        <x:v>High-density foam</x:v>
      </x:c>
      <x:c r="F7" s="27" t="str">
        <x:v>Medium-firm</x:v>
      </x:c>
      <x:c r="G7" s="27" t="str">
        <x:v>6 in (observed listing)</x:v>
      </x:c>
      <x:c r="H7" s="30" t="n">
        <x:v>14899</x:v>
      </x:c>
      <x:c r="I7" s="30" t="n">
        <x:v>20086</x:v>
      </x:c>
      <x:c r="J7" s="36" t="n">
        <x:f>IF(OR(H7="",I7="",I7=0),"",1-H7/I7)</x:f>
        <x:v>0.25823956984964647</x:v>
      </x:c>
      <x:c r="K7" s="27" t="str">
        <x:v>Single 75×35×6 in; current Flipkart observation</x:v>
      </x:c>
      <x:c r="L7" s="27" t="str">
        <x:v>Temperature regulation and pressure relief in a foam mattress</x:v>
      </x:c>
      <x:c r="M7" s="27" t="str">
        <x:v>Hot sleepers and back/combination sleepers; exact grid mechanics require teardown validation</x:v>
      </x:c>
      <x:c r="N7" s="27" t="str">
        <x:v>10 years (listing)</x:v>
      </x:c>
      <x:c r="O7" s="27" t="str">
        <x:v>Low</x:v>
      </x:c>
      <x:c r="P7" s="27" t="str">
        <x:v>Grid material chemistry, cell geometry, layer thickness, foam density/ILD, airflow test method</x:v>
      </x:c>
      <x:c r="Q7" s="27" t="str">
        <x:v>https://mysleepwell.com/mattresses</x:v>
      </x:c>
      <x:c r="R7" s="27" t="str">
        <x:v>https://www.flipkart.com/q/sleepwell-mattress</x:v>
      </x:c>
      <x:c r="S7" s="38" t="n">
        <x:v>46223</x:v>
      </x:c>
    </x:row>
    <x:row r="8" ht="78" customHeight="1">
      <x:c r="A8" s="27" t="str">
        <x:v>Kurlon</x:v>
      </x:c>
      <x:c r="B8" s="27" t="str">
        <x:v>Natural Coir Mattress</x:v>
      </x:c>
      <x:c r="C8" s="27" t="str">
        <x:v>Rubberised coir</x:v>
      </x:c>
      <x:c r="D8" s="27" t="str">
        <x:v>Quilted / fabric comfort surface → rubberised coir pad → base fabric.</x:v>
      </x:c>
      <x:c r="E8" s="27" t="str">
        <x:v>Rubberised coir</x:v>
      </x:c>
      <x:c r="F8" s="27" t="str">
        <x:v>Firm</x:v>
      </x:c>
      <x:c r="G8" s="27" t="str">
        <x:v>Variant-dependent</x:v>
      </x:c>
      <x:c r="H8" s="30" t="n">
        <x:v>4367</x:v>
      </x:c>
      <x:c r="I8" s="30" t="n">
        <x:v>6719</x:v>
      </x:c>
      <x:c r="J8" s="36" t="n">
        <x:f>IF(OR(H8="",I8="",I8=0),"",1-H8/I8)</x:f>
        <x:v>0.3500520910849829</x:v>
      </x:c>
      <x:c r="K8" s="27" t="str">
        <x:v>Starting variant displayed on official Kurlon collection</x:v>
      </x:c>
      <x:c r="L8" s="27" t="str">
        <x:v>Entry-level breathable, firm mattress</x:v>
      </x:c>
      <x:c r="M8" s="27" t="str">
        <x:v>Hot climates, users who prefer a hard surface, guest/secondary beds</x:v>
      </x:c>
      <x:c r="N8" s="27" t="str">
        <x:v>2 years / 100-night trial</x:v>
      </x:c>
      <x:c r="O8" s="27" t="str">
        <x:v>High</x:v>
      </x:c>
      <x:c r="P8" s="27" t="str">
        <x:v>Coir density, latex/rubber binder content, pad thickness, indentation and fungal-resistance tests</x:v>
      </x:c>
      <x:c r="Q8" s="27" t="str">
        <x:v>https://kurlon.com/collections/mattresses</x:v>
      </x:c>
      <x:c r="R8" s="27" t="str">
        <x:v>https://kurlon.com/collections/mattresses/products/dual-plus</x:v>
      </x:c>
      <x:c r="S8" s="38" t="n">
        <x:v>46223</x:v>
      </x:c>
    </x:row>
    <x:row r="9" ht="78" customHeight="1">
      <x:c r="A9" s="27" t="str">
        <x:v>Kurlon</x:v>
      </x:c>
      <x:c r="B9" s="27" t="str">
        <x:v>Dual Plus</x:v>
      </x:c>
      <x:c r="C9" s="27" t="str">
        <x:v>Reversible all-foam</x:v>
      </x:c>
      <x:c r="D9" s="27" t="str">
        <x:v>Three foam layers configured for reversible dual-side support; exact foam sequence is primarily shown in product imagery, not text.</x:v>
      </x:c>
      <x:c r="E9" s="27" t="str">
        <x:v>Multi-layer foam core</x:v>
      </x:c>
      <x:c r="F9" s="27" t="str">
        <x:v>Dual comfort; reversible</x:v>
      </x:c>
      <x:c r="G9" s="27" t="str">
        <x:v>5 / 6 / 8 in</x:v>
      </x:c>
      <x:c r="H9" s="30" t="n">
        <x:v>7315</x:v>
      </x:c>
      <x:c r="I9" s="30" t="n">
        <x:v>13300</x:v>
      </x:c>
      <x:c r="J9" s="36" t="n">
        <x:f>IF(OR(H9="",I9="",I9=0),"",1-H9/I9)</x:f>
        <x:v>0.44999999999999996</x:v>
      </x:c>
      <x:c r="K9" s="27" t="str">
        <x:v>Single 84×42×5 in official selected variant</x:v>
      </x:c>
      <x:c r="L9" s="27" t="str">
        <x:v>Flexible firm/soft choice and roll-packed convenience</x:v>
      </x:c>
      <x:c r="M9" s="27" t="str">
        <x:v>Guest rooms, rental housing, users uncertain about firmness preference</x:v>
      </x:c>
      <x:c r="N9" s="27" t="str">
        <x:v>10 years / 100-night trial</x:v>
      </x:c>
      <x:c r="O9" s="27" t="str">
        <x:v>Medium</x:v>
      </x:c>
      <x:c r="P9" s="27" t="str">
        <x:v>Foam type per layer, density, ILD, layer thickness, adhesive and fatigue performance</x:v>
      </x:c>
      <x:c r="Q9" s="27" t="str">
        <x:v>https://kurlon.com/collections/mattresses/products/dual-plus</x:v>
      </x:c>
      <x:c r="R9" s="27" t="str">
        <x:v>https://kurlon.com/collections/mattresses</x:v>
      </x:c>
      <x:c r="S9" s="38" t="n">
        <x:v>46223</x:v>
      </x:c>
    </x:row>
    <x:row r="10" ht="78" customHeight="1">
      <x:c r="A10" s="27" t="str">
        <x:v>Kurlon</x:v>
      </x:c>
      <x:c r="B10" s="27" t="str">
        <x:v>Ortho Plus</x:v>
      </x:c>
      <x:c r="C10" s="27" t="str">
        <x:v>Zoned orthopedic all-foam</x:v>
      </x:c>
      <x:c r="D10" s="27" t="str">
        <x:v>Quilted comfort surface → adaptive comfort foam → Body Zone HR foam → supportive HR foam/base.</x:v>
      </x:c>
      <x:c r="E10" s="27" t="str">
        <x:v>Body Zone HR foam</x:v>
      </x:c>
      <x:c r="F10" s="27" t="str">
        <x:v>Firm / orthopedic</x:v>
      </x:c>
      <x:c r="G10" s="27" t="str">
        <x:v>Variant-dependent</x:v>
      </x:c>
      <x:c r="H10" s="30" t="n">
        <x:v>7351</x:v>
      </x:c>
      <x:c r="I10" s="30" t="n">
        <x:v>13367</x:v>
      </x:c>
      <x:c r="J10" s="36" t="n">
        <x:f>IF(OR(H10="",I10="",I10=0),"",1-H10/I10)</x:f>
        <x:v>0.45006358943667235</x:v>
      </x:c>
      <x:c r="K10" s="27" t="str">
        <x:v>Starting variant shown on official collection</x:v>
      </x:c>
      <x:c r="L10" s="27" t="str">
        <x:v>Budget orthopedic support and zoned pressure distribution</x:v>
      </x:c>
      <x:c r="M10" s="27" t="str">
        <x:v>Back sleepers and users wanting firmer foam support</x:v>
      </x:c>
      <x:c r="N10" s="27" t="str">
        <x:v>10 years / 100-night trial</x:v>
      </x:c>
      <x:c r="O10" s="27" t="str">
        <x:v>Medium</x:v>
      </x:c>
      <x:c r="P10" s="27" t="str">
        <x:v>Zone geometry, foam density/ILD, exact layer thickness and compression-set data</x:v>
      </x:c>
      <x:c r="Q10" s="27" t="str">
        <x:v>https://kurlon.com/collections/mattresses</x:v>
      </x:c>
      <x:c r="R10" s="27" t="str">
        <x:v>https://www.flipkart.com/q/kurlon-mattress</x:v>
      </x:c>
      <x:c r="S10" s="38" t="n">
        <x:v>46223</x:v>
      </x:c>
    </x:row>
    <x:row r="11" ht="78" customHeight="1">
      <x:c r="A11" s="27" t="str">
        <x:v>Kurlon</x:v>
      </x:c>
      <x:c r="B11" s="27" t="str">
        <x:v>Ortho Plus Spring</x:v>
      </x:c>
      <x:c r="C11" s="27" t="str">
        <x:v>Pocket-spring hybrid</x:v>
      </x:c>
      <x:c r="D11" s="27" t="str">
        <x:v>Quilted / HR foam comfort layers → pocket spring unit → support/insulator base.</x:v>
      </x:c>
      <x:c r="E11" s="27" t="str">
        <x:v>Pocket springs</x:v>
      </x:c>
      <x:c r="F11" s="27" t="str">
        <x:v>Medium-firm / orthopedic</x:v>
      </x:c>
      <x:c r="G11" s="27" t="str">
        <x:v>6 / 8 / 10 in</x:v>
      </x:c>
      <x:c r="H11" s="30" t="n">
        <x:v>11484</x:v>
      </x:c>
      <x:c r="I11" s="30" t="n">
        <x:v>17667</x:v>
      </x:c>
      <x:c r="J11" s="36" t="n">
        <x:f>IF(OR(H11="",I11="",I11=0),"",1-H11/I11)</x:f>
        <x:v>0.3499745287824758</x:v>
      </x:c>
      <x:c r="K11" s="27" t="str">
        <x:v>Single 84×42×6 in official selected variant</x:v>
      </x:c>
      <x:c r="L11" s="27" t="str">
        <x:v>Motion isolation and targeted support</x:v>
      </x:c>
      <x:c r="M11" s="27" t="str">
        <x:v>Couples and combination sleepers needing spring responsiveness</x:v>
      </x:c>
      <x:c r="N11" s="27" t="str">
        <x:v>10 years / 100-night trial</x:v>
      </x:c>
      <x:c r="O11" s="27" t="str">
        <x:v>High</x:v>
      </x:c>
      <x:c r="P11" s="27" t="str">
        <x:v>Coil count, wire gauge, turns, zoning, foam density, edge support construction</x:v>
      </x:c>
      <x:c r="Q11" s="27" t="str">
        <x:v>https://kurlon.com/collections/mattresses/products/ortho-plus-spring</x:v>
      </x:c>
      <x:c r="R11" s="27" t="str">
        <x:v>https://kurlon.com/collections/mattresses</x:v>
      </x:c>
      <x:c r="S11" s="38" t="n">
        <x:v>46223</x:v>
      </x:c>
    </x:row>
    <x:row r="12" ht="78" customHeight="1">
      <x:c r="A12" s="27" t="str">
        <x:v>Kurlon</x:v>
      </x:c>
      <x:c r="B12" s="27" t="str">
        <x:v>Ortho Plus Natural Grid</x:v>
      </x:c>
      <x:c r="C12" s="27" t="str">
        <x:v>Coir-grid + foam</x:v>
      </x:c>
      <x:c r="D12" s="27" t="str">
        <x:v>Memory-foam quilt → Smart Grid Koya / structured coir layer → body-support foam → base.</x:v>
      </x:c>
      <x:c r="E12" s="27" t="str">
        <x:v>Structured coir grid + support foam</x:v>
      </x:c>
      <x:c r="F12" s="27" t="str">
        <x:v>Firm / orthopedic</x:v>
      </x:c>
      <x:c r="G12" s="27" t="str">
        <x:v>Variant-dependent</x:v>
      </x:c>
      <x:c r="H12" s="30" t="n">
        <x:v>9850</x:v>
      </x:c>
      <x:c r="I12" s="30" t="n">
        <x:v>16417</x:v>
      </x:c>
      <x:c r="J12" s="36" t="n">
        <x:f>IF(OR(H12="",I12="",I12=0),"",1-H12/I12)</x:f>
        <x:v>0.4000121824937565</x:v>
      </x:c>
      <x:c r="K12" s="27" t="str">
        <x:v>Starting variant shown on official collection</x:v>
      </x:c>
      <x:c r="L12" s="27" t="str">
        <x:v>Ventilated orthopedic support using a structured natural-fibre core</x:v>
      </x:c>
      <x:c r="M12" s="27" t="str">
        <x:v>Hot sleepers who prefer firm support but want more cushioning than plain coir</x:v>
      </x:c>
      <x:c r="N12" s="27" t="str">
        <x:v>10 years / 100-night trial</x:v>
      </x:c>
      <x:c r="O12" s="27" t="str">
        <x:v>Medium</x:v>
      </x:c>
      <x:c r="P12" s="27" t="str">
        <x:v>Grid geometry, coir/binder ratio, memory-foam density, layer thickness, durability</x:v>
      </x:c>
      <x:c r="Q12" s="27" t="str">
        <x:v>https://kurlon.com/collections/mattresses</x:v>
      </x:c>
      <x:c r="R12" s="27" t="str">
        <x:v>https://www.facebook.com/KurlonLimited/</x:v>
      </x:c>
      <x:c r="S12" s="38" t="n">
        <x:v>46223</x:v>
      </x:c>
    </x:row>
    <x:row r="13" ht="78" customHeight="1">
      <x:c r="A13" s="27" t="str">
        <x:v>Kurlon</x:v>
      </x:c>
      <x:c r="B13" s="27" t="str">
        <x:v>Ortho Plus Natural Latex</x:v>
      </x:c>
      <x:c r="C13" s="27" t="str">
        <x:v>Latex + zoned HR foam</x:v>
      </x:c>
      <x:c r="D13" s="27" t="str">
        <x:v>Quilted comfort surface → natural latex → memory-foam quilt / comfort foam → Body Zone HR foam → supportive HR foam.</x:v>
      </x:c>
      <x:c r="E13" s="27" t="str">
        <x:v>Body Zone HR foam</x:v>
      </x:c>
      <x:c r="F13" s="27" t="str">
        <x:v>Medium-firm / orthopedic</x:v>
      </x:c>
      <x:c r="G13" s="27" t="str">
        <x:v>6 in (observed listing)</x:v>
      </x:c>
      <x:c r="H13" s="30" t="n">
        <x:v>17199</x:v>
      </x:c>
      <x:c r="I13" s="30" t="n">
        <x:v>21287</x:v>
      </x:c>
      <x:c r="J13" s="36" t="n">
        <x:f>IF(OR(H13="",I13="",I13=0),"",1-H13/I13)</x:f>
        <x:v>0.1920420914172969</x:v>
      </x:c>
      <x:c r="K13" s="27" t="str">
        <x:v>Queen 78×60×6 in marketplace observation</x:v>
      </x:c>
      <x:c r="L13" s="27" t="str">
        <x:v>Responsive latex comfort with zoned orthopedic foam support</x:v>
      </x:c>
      <x:c r="M13" s="27" t="str">
        <x:v>Back, side and combination sleepers seeking reduced heat buildup</x:v>
      </x:c>
      <x:c r="N13" s="27" t="str">
        <x:v>10 years (listing)</x:v>
      </x:c>
      <x:c r="O13" s="27" t="str">
        <x:v>Medium</x:v>
      </x:c>
      <x:c r="P13" s="27" t="str">
        <x:v>Natural-latex content, process (Dunlop/Talalay), density, ILD, certification, exact thicknesses</x:v>
      </x:c>
      <x:c r="Q13" s="27" t="str">
        <x:v>https://kurlon.com/collections/mattresses</x:v>
      </x:c>
      <x:c r="R13" s="27" t="str">
        <x:v>https://www.flipkart.com/q/kurlon-mattress</x:v>
      </x:c>
      <x:c r="S13" s="38" t="n">
        <x:v>46223</x:v>
      </x:c>
    </x:row>
    <x:row r="14" ht="78" customHeight="1">
      <x:c r="A14" s="27" t="str">
        <x:v>Springfit</x:v>
      </x:c>
      <x:c r="B14" s="27" t="str">
        <x:v>Reactive Dual</x:v>
      </x:c>
      <x:c r="C14" s="27" t="str">
        <x:v>Reversible reactive-foam</x:v>
      </x:c>
      <x:c r="D14" s="27" t="str">
        <x:v>Health+ fabric → comfort / reactive foam system → HR support foam → reversible opposite comfort face.</x:v>
      </x:c>
      <x:c r="E14" s="27" t="str">
        <x:v>High-density Reactive Foam / HR foam</x:v>
      </x:c>
      <x:c r="F14" s="27" t="str">
        <x:v>Firm / dual-sided</x:v>
      </x:c>
      <x:c r="G14" s="27" t="str">
        <x:v>Variant-dependent</x:v>
      </x:c>
      <x:c r="H14" s="30" t="n">
        <x:v>19855</x:v>
      </x:c>
      <x:c r="I14" s="30" t="n">
        <x:v>19855</x:v>
      </x:c>
      <x:c r="J14" s="36" t="n">
        <x:f>IF(OR(H14="",I14="",I14=0),"",1-H14/I14)</x:f>
        <x:v>0</x:v>
      </x:c>
      <x:c r="K14" s="27" t="str">
        <x:v>Starting MRP on official Reactive collection</x:v>
      </x:c>
      <x:c r="L14" s="27" t="str">
        <x:v>Stable orthopedic posture support with reversible feel</x:v>
      </x:c>
      <x:c r="M14" s="27" t="str">
        <x:v>Back and stomach sleepers; value-focused users wanting a firmer foam bed</x:v>
      </x:c>
      <x:c r="N14" s="27" t="str">
        <x:v>10 years on product family; verify SKU</x:v>
      </x:c>
      <x:c r="O14" s="27" t="str">
        <x:v>Medium</x:v>
      </x:c>
      <x:c r="P14" s="27" t="str">
        <x:v>Exact layer order/thickness, density, ILD, formulation of Reactive Foam and adhesive system</x:v>
      </x:c>
      <x:c r="Q14" s="27" t="str">
        <x:v>https://www.springfit.com/collections/reactive-collection</x:v>
      </x:c>
      <x:c r="R14" s="27" t="str">
        <x:v>https://www.springfit.com/collections/reactive-foam-mattress</x:v>
      </x:c>
      <x:c r="S14" s="38" t="n">
        <x:v>46223</x:v>
      </x:c>
    </x:row>
    <x:row r="15" ht="78" customHeight="1">
      <x:c r="A15" s="27" t="str">
        <x:v>Springfit</x:v>
      </x:c>
      <x:c r="B15" s="27" t="str">
        <x:v>Reactive Dual Memory</x:v>
      </x:c>
      <x:c r="C15" s="27" t="str">
        <x:v>Memory foam + reactive foam</x:v>
      </x:c>
      <x:c r="D15" s="27" t="str">
        <x:v>Health+ fabric → memory-foam comfort layer → Reactive Foam → HR support/base foam.</x:v>
      </x:c>
      <x:c r="E15" s="27" t="str">
        <x:v>Reactive Foam / HR foam</x:v>
      </x:c>
      <x:c r="F15" s="27" t="str">
        <x:v>Firm to medium-firm</x:v>
      </x:c>
      <x:c r="G15" s="27" t="str">
        <x:v>Variant-dependent</x:v>
      </x:c>
      <x:c r="H15" s="30" t="n">
        <x:v>20832</x:v>
      </x:c>
      <x:c r="I15" s="30" t="n">
        <x:v>20832</x:v>
      </x:c>
      <x:c r="J15" s="36" t="n">
        <x:f>IF(OR(H15="",I15="",I15=0),"",1-H15/I15)</x:f>
        <x:v>0</x:v>
      </x:c>
      <x:c r="K15" s="27" t="str">
        <x:v>Starting MRP on official Reactive collection</x:v>
      </x:c>
      <x:c r="L15" s="27" t="str">
        <x:v>Pressure relief with a stable orthopedic base</x:v>
      </x:c>
      <x:c r="M15" s="27" t="str">
        <x:v>Side/back combination sleepers wanting memory-foam contouring without an all-soft core</x:v>
      </x:c>
      <x:c r="N15" s="27" t="str">
        <x:v>10 years on product family; verify SKU</x:v>
      </x:c>
      <x:c r="O15" s="27" t="str">
        <x:v>Medium</x:v>
      </x:c>
      <x:c r="P15" s="27" t="str">
        <x:v>Memory-foam density, open-cell structure, thickness, Reactive Foam properties and thermal testing</x:v>
      </x:c>
      <x:c r="Q15" s="27" t="str">
        <x:v>https://www.springfit.com/collections/reactive-collection</x:v>
      </x:c>
      <x:c r="R15" s="27" t="str">
        <x:v>https://www.springfit.com/products/reactive-dual-memory-mattress</x:v>
      </x:c>
      <x:c r="S15" s="38" t="n">
        <x:v>46223</x:v>
      </x:c>
    </x:row>
    <x:row r="16" ht="78" customHeight="1">
      <x:c r="A16" s="27" t="str">
        <x:v>Springfit</x:v>
      </x:c>
      <x:c r="B16" s="27" t="str">
        <x:v>Reactive Dual Latex</x:v>
      </x:c>
      <x:c r="C16" s="27" t="str">
        <x:v>Latex + reactive foam</x:v>
      </x:c>
      <x:c r="D16" s="27" t="str">
        <x:v>Health+ fabric → natural-latex comfort layer → Reactive Foam → support foams → anti-skid/base fabric.</x:v>
      </x:c>
      <x:c r="E16" s="27" t="str">
        <x:v>Reactive Foam / HR support foam</x:v>
      </x:c>
      <x:c r="F16" s="27" t="str">
        <x:v>Firm</x:v>
      </x:c>
      <x:c r="G16" s="27" t="str">
        <x:v>Variant-dependent</x:v>
      </x:c>
      <x:c r="H16" s="30" t="n">
        <x:v>24790</x:v>
      </x:c>
      <x:c r="I16" s="30" t="n">
        <x:v>24790</x:v>
      </x:c>
      <x:c r="J16" s="36" t="n">
        <x:f>IF(OR(H16="",I16="",I16=0),"",1-H16/I16)</x:f>
        <x:v>0</x:v>
      </x:c>
      <x:c r="K16" s="27" t="str">
        <x:v>Starting MRP on official product/collection</x:v>
      </x:c>
      <x:c r="L16" s="27" t="str">
        <x:v>Responsive, breathable orthopedic foam mattress</x:v>
      </x:c>
      <x:c r="M16" s="27" t="str">
        <x:v>Hot sleepers and back/combination sleepers who want latex bounce</x:v>
      </x:c>
      <x:c r="N16" s="27" t="str">
        <x:v>10 years</x:v>
      </x:c>
      <x:c r="O16" s="27" t="str">
        <x:v>High</x:v>
      </x:c>
      <x:c r="P16" s="27" t="str">
        <x:v>Latex thickness/density/process, Reactive Foam density/ILD, exact support-layer thickness</x:v>
      </x:c>
      <x:c r="Q16" s="27" t="str">
        <x:v>https://www.springfit.com/collections/medium-mattresses/products/reactive-dual-latex-mattress</x:v>
      </x:c>
      <x:c r="R16" s="27" t="str">
        <x:v>https://www.springfit.com/collections/natural-latex-mattress</x:v>
      </x:c>
      <x:c r="S16" s="38" t="n">
        <x:v>46223</x:v>
      </x:c>
    </x:row>
    <x:row r="17" ht="78" customHeight="1">
      <x:c r="A17" s="27" t="str">
        <x:v>Springfit</x:v>
      </x:c>
      <x:c r="B17" s="27" t="str">
        <x:v>Emporio Magnus</x:v>
      </x:c>
      <x:c r="C17" s="27" t="str">
        <x:v>Memory foam + orthopedic foam</x:v>
      </x:c>
      <x:c r="D17" s="27" t="str">
        <x:v>High-GSM Lurex fabric → memory-foam comfort layer → orthopedic / HR support foams → base fabric.</x:v>
      </x:c>
      <x:c r="E17" s="27" t="str">
        <x:v>HR / orthopedic support foam</x:v>
      </x:c>
      <x:c r="F17" s="27" t="str">
        <x:v>Medium-firm</x:v>
      </x:c>
      <x:c r="G17" s="27" t="str">
        <x:v>Variant-dependent</x:v>
      </x:c>
      <x:c r="H17" s="30" t="n">
        <x:v>18024</x:v>
      </x:c>
      <x:c r="I17" s="30" t="n">
        <x:v>18024</x:v>
      </x:c>
      <x:c r="J17" s="36" t="n">
        <x:f>IF(OR(H17="",I17="",I17=0),"",1-H17/I17)</x:f>
        <x:v>0</x:v>
      </x:c>
      <x:c r="K17" s="27" t="str">
        <x:v>Starting MRP on official HR-foam collection</x:v>
      </x:c>
      <x:c r="L17" s="27" t="str">
        <x:v>Affordable premium-feel memory foam with orthopedic support</x:v>
      </x:c>
      <x:c r="M17" s="27" t="str">
        <x:v>Side/back sleepers seeking contouring at a lower premium price</x:v>
      </x:c>
      <x:c r="N17" s="27" t="str">
        <x:v>Verify exact SKU</x:v>
      </x:c>
      <x:c r="O17" s="27" t="str">
        <x:v>Medium</x:v>
      </x:c>
      <x:c r="P17" s="27" t="str">
        <x:v>Layer thicknesses, foam density/ILD, cover GSM value, thermal and compression-set data</x:v>
      </x:c>
      <x:c r="Q17" s="27" t="str">
        <x:v>https://www.springfit.com/collections/high-resilience-hr-foam-mattress</x:v>
      </x:c>
      <x:c r="R17" s="27" t="str">
        <x:v>https://www.springfit.com/products/emporio-magnus-mattress</x:v>
      </x:c>
      <x:c r="S17" s="38" t="n">
        <x:v>46223</x:v>
      </x:c>
    </x:row>
    <x:row r="18" ht="78" customHeight="1">
      <x:c r="A18" s="27" t="str">
        <x:v>Springfit</x:v>
      </x:c>
      <x:c r="B18" s="27" t="str">
        <x:v>Autograph Pure</x:v>
      </x:c>
      <x:c r="C18" s="27" t="str">
        <x:v>Latex + memory foam premium hybrid</x:v>
      </x:c>
      <x:c r="D18" s="27" t="str">
        <x:v>High-GSM antimicrobial knitted fabric → Aero Sleep memory foam → HR comfort foam → 100% natural latex → Lato Cocoon foam → anti-skid fabric.</x:v>
      </x:c>
      <x:c r="E18" s="27" t="str">
        <x:v>Lato Cocoon high-resilience foam</x:v>
      </x:c>
      <x:c r="F18" s="27" t="str">
        <x:v>Medium luxury</x:v>
      </x:c>
      <x:c r="G18" s="27" t="str">
        <x:v>6 / 8 in</x:v>
      </x:c>
      <x:c r="H18" s="30" t="n">
        <x:v>40999</x:v>
      </x:c>
      <x:c r="I18" s="30" t="n">
        <x:v>40999</x:v>
      </x:c>
      <x:c r="J18" s="36" t="n">
        <x:f>IF(OR(H18="",I18="",I18=0),"",1-H18/I18)</x:f>
        <x:v>0</x:v>
      </x:c>
      <x:c r="K18" s="27" t="str">
        <x:v>Starting MRP on official product page</x:v>
      </x:c>
      <x:c r="L18" s="27" t="str">
        <x:v>Premium pressure relief, buoyant latex support and motion isolation</x:v>
      </x:c>
      <x:c r="M18" s="27" t="str">
        <x:v>Back, side and combination sleepers; couples wanting a quiet non-spring construction</x:v>
      </x:c>
      <x:c r="N18" s="27" t="str">
        <x:v>10 years; verify current page/SKU</x:v>
      </x:c>
      <x:c r="O18" s="27" t="str">
        <x:v>High</x:v>
      </x:c>
      <x:c r="P18" s="27" t="str">
        <x:v>Exact thickness and density of each foam, latex certification/test report, adhesive chemistry</x:v>
      </x:c>
      <x:c r="Q18" s="27" t="str">
        <x:v>https://www.springfit.com/products/autograph-pure-mattress</x:v>
      </x:c>
      <x:c r="R18" s="27" t="str">
        <x:v>https://www.springfit.com/collections/autograph-collection</x:v>
      </x:c>
      <x:c r="S18" s="38" t="n">
        <x:v>46223</x:v>
      </x:c>
    </x:row>
    <x:row r="19" ht="78" customHeight="1">
      <x:c r="A19" s="27" t="str">
        <x:v>Springfit</x:v>
      </x:c>
      <x:c r="B19" s="27" t="str">
        <x:v>Autograph Prive</x:v>
      </x:c>
      <x:c r="C19" s="27" t="str">
        <x:v>Latex + memory foam luxury</x:v>
      </x:c>
      <x:c r="D19" s="27" t="str">
        <x:v>High-GSM melange fabric → Aero Sleep memory foam → HR comfort foam → HR convoluted foam → 5-zoned natural latex → Reactive Foam → anti-skid fabric.</x:v>
      </x:c>
      <x:c r="E19" s="27" t="str">
        <x:v>Reactive Foam</x:v>
      </x:c>
      <x:c r="F19" s="27" t="str">
        <x:v>Medium luxury (5/10 shown)</x:v>
      </x:c>
      <x:c r="G19" s="27" t="str">
        <x:v>7 / 9 in</x:v>
      </x:c>
      <x:c r="H19" s="30" t="n">
        <x:v>51310</x:v>
      </x:c>
      <x:c r="I19" s="30" t="n">
        <x:v>51310</x:v>
      </x:c>
      <x:c r="J19" s="36" t="n">
        <x:f>IF(OR(H19="",I19="",I19=0),"",1-H19/I19)</x:f>
        <x:v>0</x:v>
      </x:c>
      <x:c r="K19" s="27" t="str">
        <x:v>Single 72×36×7 in starting MRP</x:v>
      </x:c>
      <x:c r="L19" s="27" t="str">
        <x:v>Luxury contouring, zoned support and low partner disturbance</x:v>
      </x:c>
      <x:c r="M19" s="27" t="str">
        <x:v>Couples and multi-position sleepers seeking plush-but-supported feel</x:v>
      </x:c>
      <x:c r="N19" s="27" t="str">
        <x:v>10 years</x:v>
      </x:c>
      <x:c r="O19" s="27" t="str">
        <x:v>High</x:v>
      </x:c>
      <x:c r="P19" s="27" t="str">
        <x:v>Layer-by-layer thickness, foam density/ILD, latex density, zone geometry, cover GSM number</x:v>
      </x:c>
      <x:c r="Q19" s="27" t="str">
        <x:v>https://www.springfit.com/products/autograph-prive-mattress</x:v>
      </x:c>
      <x:c r="R19" s="27" t="str">
        <x:v>https://www.springfit.com/collections/autograph-collection</x:v>
      </x:c>
      <x:c r="S19" s="38" t="n">
        <x:v>46223</x:v>
      </x:c>
    </x:row>
    <x:row r="20" ht="78" customHeight="1">
      <x:c r="A20" s="27" t="str">
        <x:v>Springfit</x:v>
      </x:c>
      <x:c r="B20" s="27" t="str">
        <x:v>i-Sleep Krono</x:v>
      </x:c>
      <x:c r="C20" s="27" t="str">
        <x:v>Ultra-premium pocket-spring hybrid</x:v>
      </x:c>
      <x:c r="D20" s="27" t="str">
        <x:v>Gold-infused bio-ceramic fabric → gelled polyfill → Thermo Gel memory foam → Lato Cells → HR support foam → Multi Sensor 3D pocket springs → Aqua Cell foam → Turkish felt → 3D mesh fabric.</x:v>
      </x:c>
      <x:c r="E20" s="27" t="str">
        <x:v>Multi Sensor 3D pocket springs</x:v>
      </x:c>
      <x:c r="F20" s="27" t="str">
        <x:v>Medium luxury / product page also labels firm</x:v>
      </x:c>
      <x:c r="G20" s="27" t="str">
        <x:v>9 / 11 in</x:v>
      </x:c>
      <x:c r="H20" s="30" t="n">
        <x:v>125417</x:v>
      </x:c>
      <x:c r="I20" s="30" t="n">
        <x:v>125417</x:v>
      </x:c>
      <x:c r="J20" s="36" t="n">
        <x:f>IF(OR(H20="",I20="",I20=0),"",1-H20/I20)</x:f>
        <x:v>0</x:v>
      </x:c>
      <x:c r="K20" s="27" t="str">
        <x:v>Starting MRP official product page</x:v>
      </x:c>
      <x:c r="L20" s="27" t="str">
        <x:v>Cooling, pressure relief, high motion isolation and luxury spring response</x:v>
      </x:c>
      <x:c r="M20" s="27" t="str">
        <x:v>Couples, hot sleepers and combination sleepers in the premium segment</x:v>
      </x:c>
      <x:c r="N20" s="27" t="str">
        <x:v>25 years</x:v>
      </x:c>
      <x:c r="O20" s="27" t="str">
        <x:v>High</x:v>
      </x:c>
      <x:c r="P20" s="27" t="str">
        <x:v>Spring count/gauge/zoning, exact layer thicknesses, foam density/ILD, thermal performance method</x:v>
      </x:c>
      <x:c r="Q20" s="27" t="str">
        <x:v>https://www.springfit.com/products/i-sleep-krono-mattress</x:v>
      </x:c>
      <x:c r="R20" s="27" t="str">
        <x:v>https://www.springfit.com/collections/i-sleep-collection</x:v>
      </x:c>
      <x:c r="S20" s="38" t="n">
        <x:v>46223</x:v>
      </x:c>
    </x:row>
    <x:row r="21" ht="78" customHeight="1">
      <x:c r="A21" s="27" t="str">
        <x:v>The Sleep Company</x:v>
      </x:c>
      <x:c r="B21" s="27" t="str">
        <x:v>Smart Ortho GRID</x:v>
      </x:c>
      <x:c r="C21" s="27" t="str">
        <x:v>Grid + orthopedic foam</x:v>
      </x:c>
      <x:c r="D21" s="27" t="str">
        <x:v>550 GSM cotton-viscose cover → 0.5 in SmartGRID hyper-elastic polymer → 4.5 in Ortho Balance Foam (5-in version).</x:v>
      </x:c>
      <x:c r="E21" s="27" t="str">
        <x:v>Ortho Balance Foam</x:v>
      </x:c>
      <x:c r="F21" s="27" t="str">
        <x:v>Medium-firm</x:v>
      </x:c>
      <x:c r="G21" s="27" t="str">
        <x:v>5 / 6 / 8 in</x:v>
      </x:c>
      <x:c r="H21" s="30" t="n">
        <x:v>9490</x:v>
      </x:c>
      <x:c r="I21" s="30" t="n">
        <x:v>12490</x:v>
      </x:c>
      <x:c r="J21" s="36" t="n">
        <x:f>IF(OR(H21="",I21="",I21=0),"",1-H21/I21)</x:f>
        <x:v>0.24019215372297842</x:v>
      </x:c>
      <x:c r="K21" s="27" t="str">
        <x:v>Starting sale price and MRP shown on official collection</x:v>
      </x:c>
      <x:c r="L21" s="27" t="str">
        <x:v>Entry orthopedic grid mattress with cooling airflow</x:v>
      </x:c>
      <x:c r="M21" s="27" t="str">
        <x:v>Back/combination sleepers, hot sleepers and users wanting low sink</x:v>
      </x:c>
      <x:c r="N21" s="27" t="str">
        <x:v>10 years / 100-night trial</x:v>
      </x:c>
      <x:c r="O21" s="27" t="str">
        <x:v>High</x:v>
      </x:c>
      <x:c r="P21" s="27" t="str">
        <x:v>Ortho foam density/ILD, polymer formulation, adhesive method, cover blend percentages</x:v>
      </x:c>
      <x:c r="Q21" s="27" t="str">
        <x:v>https://thesleepcompany.in/products/smart-ortho-grid-mattress</x:v>
      </x:c>
      <x:c r="R21" s="27" t="str">
        <x:v>https://thesleepcompany.in/collections/mattress</x:v>
      </x:c>
      <x:c r="S21" s="38" t="n">
        <x:v>46223</x:v>
      </x:c>
    </x:row>
    <x:row r="22" ht="78" customHeight="1">
      <x:c r="A22" s="27" t="str">
        <x:v>The Sleep Company</x:v>
      </x:c>
      <x:c r="B22" s="27" t="str">
        <x:v>Smart Ortho Pro</x:v>
      </x:c>
      <x:c r="C22" s="27" t="str">
        <x:v>Grid + zoned orthopedic foam</x:v>
      </x:c>
      <x:c r="D22" s="27" t="str">
        <x:v>Cover → 1 in SmartGRID → 5 in Ortho Relief Foam → 2 in scientist-approved 5-zone orthopedic support.</x:v>
      </x:c>
      <x:c r="E22" s="27" t="str">
        <x:v>5-zone orthopedic support foam</x:v>
      </x:c>
      <x:c r="F22" s="27" t="str">
        <x:v>Firm</x:v>
      </x:c>
      <x:c r="G22" s="27" t="str">
        <x:v>Approx. 8 in stack disclosed</x:v>
      </x:c>
      <x:c r="H22" s="30" t="n">
        <x:v>16390</x:v>
      </x:c>
      <x:c r="I22" s="30" t="n">
        <x:v>26990</x:v>
      </x:c>
      <x:c r="J22" s="36" t="n">
        <x:f>IF(OR(H22="",I22="",I22=0),"",1-H22/I22)</x:f>
        <x:v>0.3927380511300481</x:v>
      </x:c>
      <x:c r="K22" s="27" t="str">
        <x:v>Starting sale price and MRP shown on official collection</x:v>
      </x:c>
      <x:c r="L22" s="27" t="str">
        <x:v>Targeted orthopedic support and pressure relief</x:v>
      </x:c>
      <x:c r="M22" s="27" t="str">
        <x:v>Back sleepers, heavier users and those preferring a firmer zoned surface</x:v>
      </x:c>
      <x:c r="N22" s="27" t="str">
        <x:v>10 years / 100-night trial</x:v>
      </x:c>
      <x:c r="O22" s="27" t="str">
        <x:v>High</x:v>
      </x:c>
      <x:c r="P22" s="27" t="str">
        <x:v>Foam density/ILD by zone, zone firmness map, polymer formulation, fatigue test results</x:v>
      </x:c>
      <x:c r="Q22" s="27" t="str">
        <x:v>https://thesleepcompany.in/pages/comparison</x:v>
      </x:c>
      <x:c r="R22" s="27" t="str">
        <x:v>https://thesleepcompany.in/collections/mattress</x:v>
      </x:c>
      <x:c r="S22" s="38" t="n">
        <x:v>46223</x:v>
      </x:c>
    </x:row>
    <x:row r="23" ht="78" customHeight="1">
      <x:c r="A23" s="27" t="str">
        <x:v>The Sleep Company</x:v>
      </x:c>
      <x:c r="B23" s="27" t="str">
        <x:v>Smart Ortho Hybrid</x:v>
      </x:c>
      <x:c r="C23" s="27" t="str">
        <x:v>Grid + pocket-spring hybrid</x:v>
      </x:c>
      <x:c r="D23" s="27" t="str">
        <x:v>Cover → 1 in SmartGRID → 2 in Ortho Relief Foam → 4 in carbon-tempered steel pocket coils → 0.5 in Ortho Support Foam.</x:v>
      </x:c>
      <x:c r="E23" s="27" t="str">
        <x:v>Carbon-tempered pocket coils</x:v>
      </x:c>
      <x:c r="F23" s="27" t="str">
        <x:v>Firm</x:v>
      </x:c>
      <x:c r="G23" s="27" t="str">
        <x:v>Approx. 7.5 in stack disclosed</x:v>
      </x:c>
      <x:c r="H23" s="30" t="n">
        <x:v>23290</x:v>
      </x:c>
      <x:c r="I23" s="30" t="n">
        <x:v>35820</x:v>
      </x:c>
      <x:c r="J23" s="36" t="n">
        <x:f>IF(OR(H23="",I23="",I23=0),"",1-H23/I23)</x:f>
        <x:v>0.34980457844779456</x:v>
      </x:c>
      <x:c r="K23" s="27" t="str">
        <x:v>Starting sale price and MRP shown on official collection</x:v>
      </x:c>
      <x:c r="L23" s="27" t="str">
        <x:v>Responsive orthopedic hybrid with motion isolation</x:v>
      </x:c>
      <x:c r="M23" s="27" t="str">
        <x:v>Couples, combination sleepers and users wanting spring response with a grid comfort layer</x:v>
      </x:c>
      <x:c r="N23" s="27" t="str">
        <x:v>10 years / 100-night trial</x:v>
      </x:c>
      <x:c r="O23" s="27" t="str">
        <x:v>High</x:v>
      </x:c>
      <x:c r="P23" s="27" t="str">
        <x:v>Coil count, wire gauge, turns, zoning, perimeter edge construction, foam density</x:v>
      </x:c>
      <x:c r="Q23" s="27" t="str">
        <x:v>https://thesleepcompany.in/pages/comparison</x:v>
      </x:c>
      <x:c r="R23" s="27" t="str">
        <x:v>https://thesleepcompany.in/collections/mattress</x:v>
      </x:c>
      <x:c r="S23" s="38" t="n">
        <x:v>46223</x:v>
      </x:c>
    </x:row>
    <x:row r="24" ht="78" customHeight="1">
      <x:c r="A24" s="27" t="str">
        <x:v>The Sleep Company</x:v>
      </x:c>
      <x:c r="B24" s="27" t="str">
        <x:v>Smart Luxe Pro</x:v>
      </x:c>
      <x:c r="C24" s="27" t="str">
        <x:v>Grid + latex + luxury foam</x:v>
      </x:c>
      <x:c r="D24" s="27" t="str">
        <x:v>550 GSM cotton-viscose cover → 1 in natural latex → 1 in SmartGRID → 3 in LuxioTec comfort layer → 3 in HR support foam.</x:v>
      </x:c>
      <x:c r="E24" s="27" t="str">
        <x:v>High-resilience foam</x:v>
      </x:c>
      <x:c r="F24" s="27" t="str">
        <x:v>Soft</x:v>
      </x:c>
      <x:c r="G24" s="27" t="str">
        <x:v>Approx. 8 in stack disclosed</x:v>
      </x:c>
      <x:c r="H24" s="30" t="n">
        <x:v>16390</x:v>
      </x:c>
      <x:c r="I24" s="30" t="n">
        <x:v>27320</x:v>
      </x:c>
      <x:c r="J24" s="36" t="n">
        <x:f>IF(OR(H24="",I24="",I24=0),"",1-H24/I24)</x:f>
        <x:v>0.40007320644216693</x:v>
      </x:c>
      <x:c r="K24" s="27" t="str">
        <x:v>Starting sale price and MRP shown on official collection</x:v>
      </x:c>
      <x:c r="L24" s="27" t="str">
        <x:v>Soft luxury contouring with grid airflow and latex response</x:v>
      </x:c>
      <x:c r="M24" s="27" t="str">
        <x:v>Side sleepers and lighter users who prefer plush comfort; couples needing motion isolation</x:v>
      </x:c>
      <x:c r="N24" s="27" t="str">
        <x:v>10 years / 100-night trial</x:v>
      </x:c>
      <x:c r="O24" s="27" t="str">
        <x:v>High</x:v>
      </x:c>
      <x:c r="P24" s="27" t="str">
        <x:v>Latex process/density, LuxioTec density/ILD, adhesive chemistry, durability curves</x:v>
      </x:c>
      <x:c r="Q24" s="27" t="str">
        <x:v>https://shop.thesleepcompany.in/products/smart-luxe-pro-mattress-custom</x:v>
      </x:c>
      <x:c r="R24" s="27" t="str">
        <x:v>https://thesleepcompany.in/pages/comparison</x:v>
      </x:c>
      <x:c r="S24" s="38" t="n">
        <x:v>46223</x:v>
      </x:c>
    </x:row>
    <x:row r="25" ht="78" customHeight="1">
      <x:c r="A25" s="27" t="str">
        <x:v>The Sleep Company</x:v>
      </x:c>
      <x:c r="B25" s="27" t="str">
        <x:v>Smart Luxe Royale</x:v>
      </x:c>
      <x:c r="C25" s="27" t="str">
        <x:v>Grid + latex + zoned foam</x:v>
      </x:c>
      <x:c r="D25" s="27" t="str">
        <x:v>2 in 100% natural latex → 2 in SmartGRID → 2 in HR foam → 2 in 5-zone BodySense support (official comparison order).</x:v>
      </x:c>
      <x:c r="E25" s="27" t="str">
        <x:v>5-zone BodySense support</x:v>
      </x:c>
      <x:c r="F25" s="27" t="str">
        <x:v>Luxury soft</x:v>
      </x:c>
      <x:c r="G25" s="27" t="str">
        <x:v>Approx. 8 in stack disclosed</x:v>
      </x:c>
      <x:c r="H25" s="30" t="n">
        <x:v>40990</x:v>
      </x:c>
      <x:c r="I25" s="30" t="n">
        <x:v>61990</x:v>
      </x:c>
      <x:c r="J25" s="36" t="n">
        <x:f>IF(OR(H25="",I25="",I25=0),"",1-H25/I25)</x:f>
        <x:v>0.3387643168252944</x:v>
      </x:c>
      <x:c r="K25" s="27" t="str">
        <x:v>Starting sale price and MRP shown on official collection</x:v>
      </x:c>
      <x:c r="L25" s="27" t="str">
        <x:v>Premium buoyant comfort with distributed zoned support</x:v>
      </x:c>
      <x:c r="M25" s="27" t="str">
        <x:v>Side and combination sleepers; premium couples seeking responsive softness</x:v>
      </x:c>
      <x:c r="N25" s="27" t="str">
        <x:v>12 years / 100-night trial</x:v>
      </x:c>
      <x:c r="O25" s="27" t="str">
        <x:v>High</x:v>
      </x:c>
      <x:c r="P25" s="27" t="str">
        <x:v>Latex density/process/certification, BodySense zone map and ILD, polymer formulation</x:v>
      </x:c>
      <x:c r="Q25" s="27" t="str">
        <x:v>https://thesleepcompany.in/pages/comparison</x:v>
      </x:c>
      <x:c r="R25" s="27" t="str">
        <x:v>https://thesleepcompany.in/collections/mattress</x:v>
      </x:c>
      <x:c r="S25" s="38" t="n">
        <x:v>46223</x:v>
      </x:c>
    </x:row>
    <x:row r="26" ht="78" customHeight="1">
      <x:c r="A26" s="27" t="str">
        <x:v>The Sleep Company</x:v>
      </x:c>
      <x:c r="B26" s="27" t="str">
        <x:v>Smart Luxe Pro SnowTec</x:v>
      </x:c>
      <x:c r="C26" s="27" t="str">
        <x:v>Cooling grid + latex + luxury foam</x:v>
      </x:c>
      <x:c r="D26" s="27" t="str">
        <x:v>SnowTec cooling fabric → 1 in natural latex → 1 in SmartGRID → 3 in LuxioTec → 3 in HR foam.</x:v>
      </x:c>
      <x:c r="E26" s="27" t="str">
        <x:v>High-resilience foam</x:v>
      </x:c>
      <x:c r="F26" s="27" t="str">
        <x:v>Medium-soft</x:v>
      </x:c>
      <x:c r="G26" s="27" t="str">
        <x:v>Approx. 8 in stack disclosed</x:v>
      </x:c>
      <x:c r="H26" s="30" t="n">
        <x:v>19390</x:v>
      </x:c>
      <x:c r="I26" s="30" t="n">
        <x:v>32320</x:v>
      </x:c>
      <x:c r="J26" s="36" t="n">
        <x:f>IF(OR(H26="",I26="",I26=0),"",1-H26/I26)</x:f>
        <x:v>0.4000618811881188</x:v>
      </x:c>
      <x:c r="K26" s="27" t="str">
        <x:v>Starting sale price and MRP shown on official collection</x:v>
      </x:c>
      <x:c r="L26" s="27" t="str">
        <x:v>Actively marketed cooling luxury mattress</x:v>
      </x:c>
      <x:c r="M26" s="27" t="str">
        <x:v>Hot sleepers and side/combination sleepers wanting softer contouring</x:v>
      </x:c>
      <x:c r="N26" s="27" t="str">
        <x:v>10 years / 100-night trial</x:v>
      </x:c>
      <x:c r="O26" s="27" t="str">
        <x:v>High</x:v>
      </x:c>
      <x:c r="P26" s="27" t="str">
        <x:v>Cooling test protocol and ambient conditions, fabric chemistry, foam density/ILD, latex specification</x:v>
      </x:c>
      <x:c r="Q26" s="27" t="str">
        <x:v>https://shop.thesleepcompany.in/products/smart-luxe-pro-snowtec-cooling-mattress</x:v>
      </x:c>
      <x:c r="R26" s="27" t="str">
        <x:v>https://thesleepcompany.in/pages/comparison</x:v>
      </x:c>
      <x:c r="S26" s="38" t="n">
        <x:v>46223</x:v>
      </x:c>
    </x:row>
  </x:sheetData>
  <x:conditionalFormatting sqref="O2:O26">
    <x:cfRule type="expression" dxfId="0" priority="1">
      <x:formula>O2="High"</x:formula>
    </x:cfRule>
    <x:cfRule type="expression" dxfId="1" priority="2">
      <x:formula>O2="Medium"</x:formula>
    </x:cfRule>
    <x:cfRule type="expression" dxfId="2" priority="3">
      <x:formula>O2="Low"</x:formula>
    </x:cfRule>
  </x:conditionalFormatting>
  <x:conditionalFormatting sqref="J2:J26">
    <x:cfRule type="dataBar" priority="4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{34A1E815-9957-C098-53CD-80E696D09311}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cbce9a7299c435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34A1E815-9957-C098-53CD-80E696D09311}">
            <x14:dataBar gradient="1">
              <x14:cfvo type="min"/>
              <x14:cfvo type="max"/>
              <x14:fillColor rgb="FF5B9BD5"/>
            </x14:dataBar>
          </x14:cfRule>
          <xm:sqref>J2:J26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3" max="3" width="22" hidden="0" customWidth="1"/>
    <x:col min="4" max="4" width="21" hidden="0" customWidth="1"/>
    <x:col min="5" max="5" width="22" hidden="0" customWidth="1"/>
    <x:col min="6" max="6" width="38" hidden="0" customWidth="1"/>
    <x:col min="7" max="7" width="22" hidden="0" customWidth="1"/>
    <x:col min="8" max="8" width="55" hidden="0" customWidth="1"/>
  </x:cols>
  <x:sheetData>
    <x:row r="1" ht="44" customHeight="1">
      <x:c r="A1" s="33" t="str">
        <x:v>Brand</x:v>
      </x:c>
      <x:c r="B1" s="33" t="str">
        <x:v>Models in matrix</x:v>
      </x:c>
      <x:c r="C1" s="33" t="str">
        <x:v>Median observed price (₹)</x:v>
      </x:c>
      <x:c r="D1" s="33" t="str">
        <x:v>Lowest observed price (₹)</x:v>
      </x:c>
      <x:c r="E1" s="33" t="str">
        <x:v>Highest observed price (₹)</x:v>
      </x:c>
      <x:c r="F1" s="33" t="str">
        <x:v>Dominant architectures represented</x:v>
      </x:c>
      <x:c r="G1" s="33" t="str">
        <x:v>Public disclosure quality</x:v>
      </x:c>
      <x:c r="H1" s="33" t="str">
        <x:v>Strategic read</x:v>
      </x:c>
    </x:row>
    <x:row r="2" ht="70" customHeight="1">
      <x:c r="A2" s="27" t="str">
        <x:v>Sleepwell</x:v>
      </x:c>
      <x:c r="B2" s="40" t="n">
        <x:f>COUNTA('Competitive Matrix'!B2:B7)</x:f>
        <x:v>6</x:v>
      </x:c>
      <x:c r="C2" s="30" t="n">
        <x:f>MEDIAN('Competitive Matrix'!H2:H7)</x:f>
        <x:v>11094.5</x:v>
      </x:c>
      <x:c r="D2" s="30" t="n">
        <x:f>MIN('Competitive Matrix'!H2:H7)</x:f>
        <x:v>8399</x:v>
      </x:c>
      <x:c r="E2" s="30" t="n">
        <x:f>MAX('Competitive Matrix'!H2:H7)</x:f>
        <x:v>14899</x:v>
      </x:c>
      <x:c r="F2" s="27" t="str">
        <x:v>Foam, bonded foam, latex, spring, grid</x:v>
      </x:c>
      <x:c r="G2" s="27" t="str">
        <x:v>Medium</x:v>
      </x:c>
      <x:c r="H2" s="27" t="str">
        <x:v>Very broad portfolio; public naming is strong but exact engineering parameters are sparse.</x:v>
      </x:c>
    </x:row>
    <x:row r="3" ht="70" customHeight="1">
      <x:c r="A3" s="27" t="str">
        <x:v>Kurlon</x:v>
      </x:c>
      <x:c r="B3" s="40" t="n">
        <x:f>COUNTA('Competitive Matrix'!B8:B13)</x:f>
        <x:v>6</x:v>
      </x:c>
      <x:c r="C3" s="30" t="n">
        <x:f>MEDIAN('Competitive Matrix'!H8:H13)</x:f>
        <x:v>8600.5</x:v>
      </x:c>
      <x:c r="D3" s="30" t="n">
        <x:f>MIN('Competitive Matrix'!H8:H13)</x:f>
        <x:v>4367</x:v>
      </x:c>
      <x:c r="E3" s="30" t="n">
        <x:f>MAX('Competitive Matrix'!H8:H13)</x:f>
        <x:v>17199</x:v>
      </x:c>
      <x:c r="F3" s="27" t="str">
        <x:v>Coir, foam, latex, pocket spring</x:v>
      </x:c>
      <x:c r="G3" s="27" t="str">
        <x:v>Medium</x:v>
      </x:c>
      <x:c r="H3" s="27" t="str">
        <x:v>Strong natural-fibre and value architecture coverage; exploded details often live only in images.</x:v>
      </x:c>
    </x:row>
    <x:row r="4" ht="70" customHeight="1">
      <x:c r="A4" s="27" t="str">
        <x:v>Springfit</x:v>
      </x:c>
      <x:c r="B4" s="40" t="n">
        <x:f>COUNTA('Competitive Matrix'!B14:B20)</x:f>
        <x:v>7</x:v>
      </x:c>
      <x:c r="C4" s="30" t="n">
        <x:f>MEDIAN('Competitive Matrix'!H14:H20)</x:f>
        <x:v>24790</x:v>
      </x:c>
      <x:c r="D4" s="30" t="n">
        <x:f>MIN('Competitive Matrix'!H14:H20)</x:f>
        <x:v>18024</x:v>
      </x:c>
      <x:c r="E4" s="30" t="n">
        <x:f>MAX('Competitive Matrix'!H14:H20)</x:f>
        <x:v>125417</x:v>
      </x:c>
      <x:c r="F4" s="27" t="str">
        <x:v>Reactive foam, memory foam, latex, pocket spring</x:v>
      </x:c>
      <x:c r="G4" s="27" t="str">
        <x:v>High</x:v>
      </x:c>
      <x:c r="H4" s="27" t="str">
        <x:v>Best public exploded-stack disclosure among the four; many premium named materials remain proprietary.</x:v>
      </x:c>
    </x:row>
    <x:row r="5" ht="70" customHeight="1">
      <x:c r="A5" s="27" t="str">
        <x:v>The Sleep Company</x:v>
      </x:c>
      <x:c r="B5" s="40" t="n">
        <x:f>COUNTA('Competitive Matrix'!B21:B26)</x:f>
        <x:v>6</x:v>
      </x:c>
      <x:c r="C5" s="30" t="n">
        <x:f>MEDIAN('Competitive Matrix'!H21:H26)</x:f>
        <x:v>17890</x:v>
      </x:c>
      <x:c r="D5" s="30" t="n">
        <x:f>MIN('Competitive Matrix'!H21:H26)</x:f>
        <x:v>9490</x:v>
      </x:c>
      <x:c r="E5" s="30" t="n">
        <x:f>MAX('Competitive Matrix'!H21:H26)</x:f>
        <x:v>40990</x:v>
      </x:c>
      <x:c r="F5" s="27" t="str">
        <x:v>Hyper-elastic polymer grid, foam, latex, pocket spring</x:v>
      </x:c>
      <x:c r="G5" s="27" t="str">
        <x:v>High</x:v>
      </x:c>
      <x:c r="H5" s="27" t="str">
        <x:v>Most explicit layer thickness disclosure; polymer and foam formulations remain protected.</x:v>
      </x:c>
    </x:row>
    <x:row r="20" ht="50" customHeight="1">
      <x:c r="J20" s="44" t="str">
        <x:v>Price interpretation: values are advertised starting prices or one explicitly named size/thickness variant, not a normalized like-for-like market index. Use the Competitive Matrix price-basis column before drawing a commercial conclusion.</x:v>
      </x:c>
      <x:c r="K20" s="44"/>
      <x:c r="L20" s="44"/>
      <x:c r="M20" s="44"/>
      <x:c r="N20" s="44"/>
      <x:c r="O20" s="44"/>
      <x:c r="P20" s="44"/>
      <x:c r="Q20" s="44"/>
    </x:row>
    <x:row r="21" ht="50" customHeight="1">
      <x:c r="J21" s="44"/>
      <x:c r="K21" s="44"/>
      <x:c r="L21" s="44"/>
      <x:c r="M21" s="44"/>
      <x:c r="N21" s="44"/>
      <x:c r="O21" s="44"/>
      <x:c r="P21" s="44"/>
      <x:c r="Q21" s="44"/>
    </x:row>
    <x:row r="22" ht="50" customHeight="1">
      <x:c r="J22" s="44"/>
      <x:c r="K22" s="44"/>
      <x:c r="L22" s="44"/>
      <x:c r="M22" s="44"/>
      <x:c r="N22" s="44"/>
      <x:c r="O22" s="44"/>
      <x:c r="P22" s="44"/>
      <x:c r="Q22" s="44"/>
    </x:row>
    <x:row r="23" ht="50" customHeight="1">
      <x:c r="J23" s="44"/>
      <x:c r="K23" s="44"/>
      <x:c r="L23" s="44"/>
      <x:c r="M23" s="44"/>
      <x:c r="N23" s="44"/>
      <x:c r="O23" s="44"/>
      <x:c r="P23" s="44"/>
      <x:c r="Q23" s="44"/>
    </x:row>
  </x:sheetData>
  <x:mergeCells>
    <x:mergeCell ref="J20:Q23"/>
  </x:mergeCells>
  <x:conditionalFormatting sqref="G2:G5">
    <x:cfRule type="expression" dxfId="3" priority="1">
      <x:formula>G2="High"</x:formula>
    </x:cfRule>
    <x:cfRule type="expression" dxfId="4" priority="2">
      <x:formula>G2="Medium"</x:formula>
    </x:cfRule>
  </x:conditionalFormatting>
  <x:pageMargins left="0.7" right="0.7" top="0.75" bottom="0.75" header="0.3" footer="0.3"/>
  <x:drawing xmlns:r="http://schemas.openxmlformats.org/officeDocument/2006/relationships" r:id="R06042275bd6e4c65"/>
  <x:tableParts count="1">
    <x:tablePart xmlns:r="http://schemas.openxmlformats.org/officeDocument/2006/relationships" r:id="R16bbb48c05c146d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8" hidden="0" customWidth="1"/>
    <x:col min="4" max="4" width="36" hidden="0" customWidth="1"/>
    <x:col min="5" max="5" width="18" hidden="0" customWidth="1"/>
    <x:col min="6" max="6" width="30" hidden="0" customWidth="1"/>
    <x:col min="7" max="7" width="45" hidden="0" customWidth="1"/>
    <x:col min="8" max="8" width="35" hidden="0" customWidth="1"/>
  </x:cols>
  <x:sheetData>
    <x:row r="1" ht="44" customHeight="1">
      <x:c r="A1" s="33" t="str">
        <x:v>Material / component</x:v>
      </x:c>
      <x:c r="B1" s="33" t="str">
        <x:v>Role in mattress</x:v>
      </x:c>
      <x:c r="C1" s="33" t="str">
        <x:v>Typical mechanical behavior</x:v>
      </x:c>
      <x:c r="D1" s="33" t="str">
        <x:v>Thermal / moisture behavior</x:v>
      </x:c>
      <x:c r="E1" s="33" t="str">
        <x:v>Motion isolation</x:v>
      </x:c>
      <x:c r="F1" s="33" t="str">
        <x:v>Durability risk</x:v>
      </x:c>
      <x:c r="G1" s="33" t="str">
        <x:v>What to measure before copying</x:v>
      </x:c>
      <x:c r="H1" s="33" t="str">
        <x:v>Common public wording</x:v>
      </x:c>
    </x:row>
    <x:row r="2" ht="70" customHeight="1">
      <x:c r="A2" s="27" t="str">
        <x:v>Knitted / woven cover fabric</x:v>
      </x:c>
      <x:c r="B2" s="27" t="str">
        <x:v>Skin-contact surface, stretch and aesthetics</x:v>
      </x:c>
      <x:c r="C2" s="27" t="str">
        <x:v>Stretch changes how deeply the comfort layer can contour</x:v>
      </x:c>
      <x:c r="D2" s="27" t="str">
        <x:v>Depends on fibre blend, knit openness and finish</x:v>
      </x:c>
      <x:c r="E2" s="27" t="str">
        <x:v>Neutral</x:v>
      </x:c>
      <x:c r="F2" s="27" t="str">
        <x:v>Pilling, seam failure, shrinkage</x:v>
      </x:c>
      <x:c r="G2" s="27" t="str">
        <x:v>GSM, fibre blend, stretch %, air permeability, abrasion, pilling</x:v>
      </x:c>
      <x:c r="H2" s="27" t="str">
        <x:v>High-GSM knit, cotton-viscose, melange, Lurex, bio-ceramic</x:v>
      </x:c>
    </x:row>
    <x:row r="3" ht="70" customHeight="1">
      <x:c r="A3" s="27" t="str">
        <x:v>Quilt foam / polyfill</x:v>
      </x:c>
      <x:c r="B3" s="27" t="str">
        <x:v>Immediate plushness and surface feel</x:v>
      </x:c>
      <x:c r="C3" s="27" t="str">
        <x:v>Low-load softness; can mask a firm core</x:v>
      </x:c>
      <x:c r="D3" s="27" t="str">
        <x:v>Polyfill can increase loft but may trap heat</x:v>
      </x:c>
      <x:c r="E3" s="27" t="str">
        <x:v>Good</x:v>
      </x:c>
      <x:c r="F3" s="27" t="str">
        <x:v>Early flattening and body impressions</x:v>
      </x:c>
      <x:c r="G3" s="27" t="str">
        <x:v>Thickness, density, compression set, quilt pattern, stitch density</x:v>
      </x:c>
      <x:c r="H3" s="27" t="str">
        <x:v>Quiltec, euro top, plush top, gelled polyfill</x:v>
      </x:c>
    </x:row>
    <x:row r="4" ht="70" customHeight="1">
      <x:c r="A4" s="27" t="str">
        <x:v>Memory foam (viscoelastic PU)</x:v>
      </x:c>
      <x:c r="B4" s="27" t="str">
        <x:v>Pressure redistribution and contouring</x:v>
      </x:c>
      <x:c r="C4" s="27" t="str">
        <x:v>Slow recovery, high hysteresis, temperature-sensitive</x:v>
      </x:c>
      <x:c r="D4" s="27" t="str">
        <x:v>Often warmer unless open-cell/gelled/perforated</x:v>
      </x:c>
      <x:c r="E4" s="27" t="str">
        <x:v>Excellent</x:v>
      </x:c>
      <x:c r="F4" s="27" t="str">
        <x:v>Softening, oxidation, permanent indentation</x:v>
      </x:c>
      <x:c r="G4" s="27" t="str">
        <x:v>Density, IFD at multiple dwell times, recovery time, airflow, compression set</x:v>
      </x:c>
      <x:c r="H4" s="27" t="str">
        <x:v>Aero Sleep, thermo-gel memory, impression foam</x:v>
      </x:c>
    </x:row>
    <x:row r="5" ht="70" customHeight="1">
      <x:c r="A5" s="27" t="str">
        <x:v>HR / Resitec / support PU foam</x:v>
      </x:c>
      <x:c r="B5" s="27" t="str">
        <x:v>Primary support and transition layers</x:v>
      </x:c>
      <x:c r="C5" s="27" t="str">
        <x:v>Faster response and higher support factor than conventional PU</x:v>
      </x:c>
      <x:c r="D5" s="27" t="str">
        <x:v>Open-cell grades can ventilate well</x:v>
      </x:c>
      <x:c r="E5" s="27" t="str">
        <x:v>Good</x:v>
      </x:c>
      <x:c r="F5" s="27" t="str">
        <x:v>Fatigue softening and edge collapse</x:v>
      </x:c>
      <x:c r="G5" s="27" t="str">
        <x:v>Density, 25%/65% IFD, support factor, resilience, compression set</x:v>
      </x:c>
      <x:c r="H5" s="27" t="str">
        <x:v>HR foam, Resitec, reactive foam, ortho balance foam</x:v>
      </x:c>
    </x:row>
    <x:row r="6" ht="70" customHeight="1">
      <x:c r="A6" s="27" t="str">
        <x:v>Rebonded / bonded foam</x:v>
      </x:c>
      <x:c r="B6" s="27" t="str">
        <x:v>Very firm economical support core</x:v>
      </x:c>
      <x:c r="C6" s="27" t="str">
        <x:v>High stiffness, low conformity</x:v>
      </x:c>
      <x:c r="D6" s="27" t="str">
        <x:v>Usually moderate airflow; can feel hard and warm under thick quilting</x:v>
      </x:c>
      <x:c r="E6" s="27" t="str">
        <x:v>Good</x:v>
      </x:c>
      <x:c r="F6" s="27" t="str">
        <x:v>Bond failure, crumbling, odour, local hard spots</x:v>
      </x:c>
      <x:c r="G6" s="27" t="str">
        <x:v>Density, binder %, indentation, tensile/tear, cyclic fatigue, VOC</x:v>
      </x:c>
      <x:c r="H6" s="27" t="str">
        <x:v>Rebonded foam, bonded foam, firm core</x:v>
      </x:c>
    </x:row>
    <x:row r="7" ht="70" customHeight="1">
      <x:c r="A7" s="27" t="str">
        <x:v>Natural latex</x:v>
      </x:c>
      <x:c r="B7" s="27" t="str">
        <x:v>Responsive comfort/support</x:v>
      </x:c>
      <x:c r="C7" s="27" t="str">
        <x:v>High resilience, buoyant contouring, strong support factor</x:v>
      </x:c>
      <x:c r="D7" s="27" t="str">
        <x:v>Generally breathable; perforation matters</x:v>
      </x:c>
      <x:c r="E7" s="27" t="str">
        <x:v>Very good</x:v>
      </x:c>
      <x:c r="F7" s="27" t="str">
        <x:v>Oxidation, tearing, latex-content mislabelling</x:v>
      </x:c>
      <x:c r="G7" s="27" t="str">
        <x:v>Natural polymer %, process, density, ILD, tensile/tear, ageing, certification</x:v>
      </x:c>
      <x:c r="H7" s="27" t="str">
        <x:v>100% natural latex, GOLS latex, latex comfort</x:v>
      </x:c>
    </x:row>
    <x:row r="8" ht="70" customHeight="1">
      <x:c r="A8" s="27" t="str">
        <x:v>Hyper-elastic polymer grid</x:v>
      </x:c>
      <x:c r="B8" s="27" t="str">
        <x:v>Adaptive comfort and ventilation</x:v>
      </x:c>
      <x:c r="C8" s="27" t="str">
        <x:v>Buckling-cell behavior: soft under pressure points, firmer under broad load</x:v>
      </x:c>
      <x:c r="D8" s="27" t="str">
        <x:v>Large channels can provide high convective airflow</x:v>
      </x:c>
      <x:c r="E8" s="27" t="str">
        <x:v>Very good</x:v>
      </x:c>
      <x:c r="F8" s="27" t="str">
        <x:v>Tear at grid walls, creep, polymer ageing, adhesive failure</x:v>
      </x:c>
      <x:c r="G8" s="27" t="str">
        <x:v>Polymer chemistry, wall geometry, compression curves, creep, tear, thermal ageing</x:v>
      </x:c>
      <x:c r="H8" s="27" t="str">
        <x:v>SmartGRID, grid technology, micro grid</x:v>
      </x:c>
    </x:row>
    <x:row r="9" ht="70" customHeight="1">
      <x:c r="A9" s="27" t="str">
        <x:v>Rubberised coir / coir grid</x:v>
      </x:c>
      <x:c r="B9" s="27" t="str">
        <x:v>Firm breathable natural-fibre support</x:v>
      </x:c>
      <x:c r="C9" s="27" t="str">
        <x:v>High firmness and low contouring; rubber binder adds resilience</x:v>
      </x:c>
      <x:c r="D9" s="27" t="str">
        <x:v>Open fibre network ventilates well but moisture control matters</x:v>
      </x:c>
      <x:c r="E9" s="27" t="str">
        <x:v>Good</x:v>
      </x:c>
      <x:c r="F9" s="27" t="str">
        <x:v>Fibre dust, fungal growth, binder ageing, sagging</x:v>
      </x:c>
      <x:c r="G9" s="27" t="str">
        <x:v>Coir density, binder content, thickness, moisture uptake, indentation, microbial resistance</x:v>
      </x:c>
      <x:c r="H9" s="27" t="str">
        <x:v>Rubberised coir, Koya, STR8 coir pad, natural grid</x:v>
      </x:c>
    </x:row>
    <x:row r="10" ht="70" customHeight="1">
      <x:c r="A10" s="27" t="str">
        <x:v>Pocket springs</x:v>
      </x:c>
      <x:c r="B10" s="27" t="str">
        <x:v>Responsive support with local movement</x:v>
      </x:c>
      <x:c r="C10" s="27" t="str">
        <x:v>Independent coils improve contouring and reduce cross-bed motion</x:v>
      </x:c>
      <x:c r="D10" s="27" t="str">
        <x:v>Air volume within core aids ventilation</x:v>
      </x:c>
      <x:c r="E10" s="27" t="str">
        <x:v>Good to excellent</x:v>
      </x:c>
      <x:c r="F10" s="27" t="str">
        <x:v>Coil fatigue, pocket fabric tear, perimeter collapse</x:v>
      </x:c>
      <x:c r="G10" s="27" t="str">
        <x:v>Coil count, gauge, turns, height, zoning, preload, edge construction, fatigue</x:v>
      </x:c>
      <x:c r="H10" s="27" t="str">
        <x:v>Pocketed coil, multi-sensor springs, triple-zone spring</x:v>
      </x:c>
    </x:row>
    <x:row r="11" ht="70" customHeight="1">
      <x:c r="A11" s="27" t="str">
        <x:v>Bonnell springs</x:v>
      </x:c>
      <x:c r="B11" s="27" t="str">
        <x:v>Low-cost interconnected support</x:v>
      </x:c>
      <x:c r="C11" s="27" t="str">
        <x:v>Bouncy and load-sharing; less local conformity</x:v>
      </x:c>
      <x:c r="D11" s="27" t="str">
        <x:v>Good airflow</x:v>
      </x:c>
      <x:c r="E11" s="27" t="str">
        <x:v>Low to moderate</x:v>
      </x:c>
      <x:c r="F11" s="27" t="str">
        <x:v>Noise, hammock effect, wire fatigue</x:v>
      </x:c>
      <x:c r="G11" s="27" t="str">
        <x:v>Gauge, coil count, helical wire, border rod, fatigue and noise</x:v>
      </x:c>
      <x:c r="H11" s="27" t="str">
        <x:v>Bonnell spring, inner spring</x:v>
      </x:c>
    </x:row>
    <x:row r="12" ht="70" customHeight="1">
      <x:c r="A12" s="27" t="str">
        <x:v>Felt / insulator pad</x:v>
      </x:c>
      <x:c r="B12" s="27" t="str">
        <x:v>Separates foam from springs and spreads load</x:v>
      </x:c>
      <x:c r="C12" s="27" t="str">
        <x:v>Adds firmness and prevents coil feel-through</x:v>
      </x:c>
      <x:c r="D12" s="27" t="str">
        <x:v>Low thermal impact</x:v>
      </x:c>
      <x:c r="E12" s="27" t="str">
        <x:v>Neutral</x:v>
      </x:c>
      <x:c r="F12" s="27" t="str">
        <x:v>Fibre breakdown, moisture retention</x:v>
      </x:c>
      <x:c r="G12" s="27" t="str">
        <x:v>GSM, fibre composition, tensile, puncture resistance</x:v>
      </x:c>
      <x:c r="H12" s="27" t="str">
        <x:v>Turkish felt, insulator felt</x:v>
      </x:c>
    </x:row>
    <x:row r="13" ht="70" customHeight="1">
      <x:c r="A13" s="27" t="str">
        <x:v>3D mesh / side border</x:v>
      </x:c>
      <x:c r="B13" s="27" t="str">
        <x:v>Ventilation and sidewall finish</x:v>
      </x:c>
      <x:c r="C13" s="27" t="str">
        <x:v>Limited structural role unless combined with edge foam</x:v>
      </x:c>
      <x:c r="D13" s="27" t="str">
        <x:v>Can improve lateral airflow</x:v>
      </x:c>
      <x:c r="E13" s="27" t="str">
        <x:v>Neutral</x:v>
      </x:c>
      <x:c r="F13" s="27" t="str">
        <x:v>Snagging, seam delamination</x:v>
      </x:c>
      <x:c r="G13" s="27" t="str">
        <x:v>Air permeability, abrasion, seam strength</x:v>
      </x:c>
      <x:c r="H13" s="27" t="str">
        <x:v>3D mesh fabric, breathable border</x:v>
      </x:c>
    </x:row>
    <x:row r="14" ht="70" customHeight="1">
      <x:c r="A14" s="27" t="str">
        <x:v>Adhesive / lamination system</x:v>
      </x:c>
      <x:c r="B14" s="27" t="str">
        <x:v>Bonds layers and controls shear</x:v>
      </x:c>
      <x:c r="C14" s="27" t="str">
        <x:v>Changes composite stiffness and flex behavior</x:v>
      </x:c>
      <x:c r="D14" s="27" t="str">
        <x:v>Solvent/water-based chemistry affects odour and emissions</x:v>
      </x:c>
      <x:c r="E14" s="27" t="str">
        <x:v>Can transmit motion if over-applied</x:v>
      </x:c>
      <x:c r="F14" s="27" t="str">
        <x:v>Delamination, VOC, brittle ageing</x:v>
      </x:c>
      <x:c r="G14" s="27" t="str">
        <x:v>Chemistry, coat weight, peel strength, VOC, heat/humidity ageing</x:v>
      </x:c>
      <x:c r="H14" s="27" t="str">
        <x:v>Usually undisclosed</x:v>
      </x:c>
    </x:row>
  </x:sheetData>
  <x:pageMargins left="0.7" right="0.7" top="0.75" bottom="0.75" header="0.3" footer="0.3"/>
  <x:tableParts count="1">
    <x:tablePart xmlns:r="http://schemas.openxmlformats.org/officeDocument/2006/relationships" r:id="Ra02986614d2c48c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0" hidden="0" customWidth="1"/>
    <x:col min="3" max="3" width="18" hidden="0" customWidth="1"/>
    <x:col min="4" max="4" width="50" hidden="0" customWidth="1"/>
    <x:col min="5" max="5" width="43" hidden="0" customWidth="1"/>
    <x:col min="6" max="6" width="38" hidden="0" customWidth="1"/>
    <x:col min="7" max="7" width="10" hidden="0" customWidth="1"/>
  </x:cols>
  <x:sheetData>
    <x:row r="1" ht="44" customHeight="1">
      <x:c r="A1" s="33" t="str">
        <x:v>Source / method</x:v>
      </x:c>
      <x:c r="B1" s="33" t="str">
        <x:v>What it reveals</x:v>
      </x:c>
      <x:c r="C1" s="33" t="str">
        <x:v>Reliability</x:v>
      </x:c>
      <x:c r="D1" s="33" t="str">
        <x:v>How to execute</x:v>
      </x:c>
      <x:c r="E1" s="33" t="str">
        <x:v>Archive query / example</x:v>
      </x:c>
      <x:c r="F1" s="33" t="str">
        <x:v>Main limitation</x:v>
      </x:c>
      <x:c r="G1" s="33" t="str">
        <x:v>Priority</x:v>
      </x:c>
    </x:row>
    <x:row r="2" ht="68" customHeight="1">
      <x:c r="A2" s="27" t="str">
        <x:v>Official product page + comparison page</x:v>
      </x:c>
      <x:c r="B2" s="27" t="str">
        <x:v>Named layers, order, thickness, firmness, warranty and current list/offer price</x:v>
      </x:c>
      <x:c r="C2" s="27" t="str">
        <x:v>High</x:v>
      </x:c>
      <x:c r="D2" s="27" t="str">
        <x:v>Save HTML/PDF screenshot, product images and the selected size/thickness; timestamp every capture.</x:v>
      </x:c>
      <x:c r="E2" s="27" t="str">
        <x:v>site:brand-domain product-name layers thickness</x:v>
      </x:c>
      <x:c r="F2" s="27" t="str">
        <x:v>Brand rarely publishes density, ILD, chemistry or supplier</x:v>
      </x:c>
      <x:c r="G2" s="27" t="str">
        <x:v>1</x:v>
      </x:c>
    </x:row>
    <x:row r="3" ht="68" customHeight="1">
      <x:c r="A3" s="27" t="str">
        <x:v>Exploded layer images / image alt text</x:v>
      </x:c>
      <x:c r="B3" s="27" t="str">
        <x:v>Layer sequence often omitted from page text</x:v>
      </x:c>
      <x:c r="C3" s="27" t="str">
        <x:v>High to medium</x:v>
      </x:c>
      <x:c r="D3" s="27" t="str">
        <x:v>Download every construction image; inspect alt text, filenames and image revisions.</x:v>
      </x:c>
      <x:c r="E3" s="27" t="str">
        <x:v>"product name" "Explore the Layers"</x:v>
      </x:c>
      <x:c r="F3" s="27" t="str">
        <x:v>Image can be generic or reused across variants</x:v>
      </x:c>
      <x:c r="G3" s="27" t="str">
        <x:v>1</x:v>
      </x:c>
    </x:row>
    <x:row r="4" ht="68" customHeight="1">
      <x:c r="A4" s="27" t="str">
        <x:v>Internet Archive / Wayback Machine</x:v>
      </x:c>
      <x:c r="B4" s="27" t="str">
        <x:v>Discontinued SKUs, old price positioning, past claims and layer diagrams</x:v>
      </x:c>
      <x:c r="C4" s="27" t="str">
        <x:v>Medium to high</x:v>
      </x:c>
      <x:c r="D4" s="27" t="str">
        <x:v>Search exact product URL, collection URL and image CDN URL; record snapshot date.</x:v>
      </x:c>
      <x:c r="E4" s="27" t="str">
        <x:v>web.archive.org + exact product URL</x:v>
      </x:c>
      <x:c r="F4" s="27" t="str">
        <x:v>Dynamic Shopify pages and image CDNs may not archive completely</x:v>
      </x:c>
      <x:c r="G4" s="27" t="str">
        <x:v>1</x:v>
      </x:c>
    </x:row>
    <x:row r="5" ht="68" customHeight="1">
      <x:c r="A5" s="27" t="str">
        <x:v>Google/Bing indexed snippets</x:v>
      </x:c>
      <x:c r="B5" s="27" t="str">
        <x:v>Text from pages that block crawlers or have changed</x:v>
      </x:c>
      <x:c r="C5" s="27" t="str">
        <x:v>Medium</x:v>
      </x:c>
      <x:c r="D5" s="27" t="str">
        <x:v>Use exact quoted product name plus material term; store the result date and cached snippet.</x:v>
      </x:c>
      <x:c r="E5" s="27" t="str">
        <x:v>"Pro Spinetech Luxury" layer</x:v>
      </x:c>
      <x:c r="F5" s="27" t="str">
        <x:v>Snippet may be stale or truncated</x:v>
      </x:c>
      <x:c r="G5" s="27" t="str">
        <x:v>2</x:v>
      </x:c>
    </x:row>
    <x:row r="6" ht="68" customHeight="1">
      <x:c r="A6" s="27" t="str">
        <x:v>Amazon / Flipkart / dealer listings</x:v>
      </x:c>
      <x:c r="B6" s="27" t="str">
        <x:v>Variant-level prices, dimensions, material categories and older SKUs</x:v>
      </x:c>
      <x:c r="C6" s="27" t="str">
        <x:v>Medium</x:v>
      </x:c>
      <x:c r="D6" s="27" t="str">
        <x:v>Normalise every observation to L×W×T, seller, date, delivery PIN and coupon status.</x:v>
      </x:c>
      <x:c r="E6" s="27" t="str">
        <x:v>"model" site:flipkart.com OR site:amazon.in</x:v>
      </x:c>
      <x:c r="F6" s="27" t="str">
        <x:v>Listings can contain category errors and copied text</x:v>
      </x:c>
      <x:c r="G6" s="27" t="str">
        <x:v>1</x:v>
      </x:c>
    </x:row>
    <x:row r="7" ht="68" customHeight="1">
      <x:c r="A7" s="27" t="str">
        <x:v>GeM / government tenders / institutional BOQs</x:v>
      </x:c>
      <x:c r="B7" s="27" t="str">
        <x:v>Exact tender specifications, compliance certificates, warranty and sometimes patent references</x:v>
      </x:c>
      <x:c r="C7" s="27" t="str">
        <x:v>High</x:v>
      </x:c>
      <x:c r="D7" s="27" t="str">
        <x:v>Search brand, model, OEM and keywords such as technical specification, BOQ, mattress density.</x:v>
      </x:c>
      <x:c r="E7" s="27" t="str">
        <x:v>site:gem.gov.in mattress brand technical specification</x:v>
      </x:c>
      <x:c r="F7" s="27" t="str">
        <x:v>May describe a tender variant rather than retail SKU</x:v>
      </x:c>
      <x:c r="G7" s="27" t="str">
        <x:v>1</x:v>
      </x:c>
    </x:row>
    <x:row r="8" ht="68" customHeight="1">
      <x:c r="A8" s="27" t="str">
        <x:v>Indian patent search / Google Patents / WIPO</x:v>
      </x:c>
      <x:c r="B8" s="27" t="str">
        <x:v>Mechanism, geometry, material classes, drawings and claim scope</x:v>
      </x:c>
      <x:c r="C8" s="27" t="str">
        <x:v>High for invention; not necessarily current product</x:v>
      </x:c>
      <x:c r="D8" s="27" t="str">
        <x:v>Search assignee, founder, inventor, brand technology name and cited patent numbers.</x:v>
      </x:c>
      <x:c r="E8" s="27" t="str">
        <x:v>assignee + SmartGRID / foam profiling / mattress</x:v>
      </x:c>
      <x:c r="F8" s="27" t="str">
        <x:v>Patent examples may not match commercial formulation</x:v>
      </x:c>
      <x:c r="G8" s="27" t="str">
        <x:v>1</x:v>
      </x:c>
    </x:row>
    <x:row r="9" ht="68" customHeight="1">
      <x:c r="A9" s="27" t="str">
        <x:v>Annual reports / investor presentations</x:v>
      </x:c>
      <x:c r="B9" s="27" t="str">
        <x:v>R&amp;D themes, plants, technology investments, capacity, brand strategy</x:v>
      </x:c>
      <x:c r="C9" s="27" t="str">
        <x:v>High</x:v>
      </x:c>
      <x:c r="D9" s="27" t="str">
        <x:v>Search company investor-relations site and annual reports; index all R&amp;D and manufacturing sections.</x:v>
      </x:c>
      <x:c r="E9" s="27" t="str">
        <x:v>Sheela Foam annual report R&amp;D VPF</x:v>
      </x:c>
      <x:c r="F9" s="27" t="str">
        <x:v>Portfolio-level, not SKU-level</x:v>
      </x:c>
      <x:c r="G9" s="27" t="str">
        <x:v>2</x:v>
      </x:c>
    </x:row>
    <x:row r="10" ht="68" customHeight="1">
      <x:c r="A10" s="27" t="str">
        <x:v>Certification databases</x:v>
      </x:c>
      <x:c r="B10" s="27" t="str">
        <x:v>Whether a foam, latex or textile claim has a valid certificate</x:v>
      </x:c>
      <x:c r="C10" s="27" t="str">
        <x:v>High when certificate is current</x:v>
      </x:c>
      <x:c r="D10" s="27" t="str">
        <x:v>Verify certificate number, company legal name, product scope and expiry.</x:v>
      </x:c>
      <x:c r="E10" s="27" t="str">
        <x:v>CertiPUR-US / GOLS / OEKO-TEX certificate search</x:v>
      </x:c>
      <x:c r="F10" s="27" t="str">
        <x:v>Certification does not disclose full formulation</x:v>
      </x:c>
      <x:c r="G10" s="27" t="str">
        <x:v>1</x:v>
      </x:c>
    </x:row>
    <x:row r="11" ht="68" customHeight="1">
      <x:c r="A11" s="27" t="str">
        <x:v>Retailer/store interview</x:v>
      </x:c>
      <x:c r="B11" s="27" t="str">
        <x:v>Variant history, complaints, return reasons, perceived firmness and price negotiation</x:v>
      </x:c>
      <x:c r="C11" s="27" t="str">
        <x:v>Medium</x:v>
      </x:c>
      <x:c r="D11" s="27" t="str">
        <x:v>Use a fixed questionnaire; obtain product code photos and distributor catalogues.</x:v>
      </x:c>
      <x:c r="E11" s="27" t="str">
        <x:v>Ask for discontinued catalogue and dealer price list</x:v>
      </x:c>
      <x:c r="F11" s="27" t="str">
        <x:v>Sales bias and inconsistent technical knowledge</x:v>
      </x:c>
      <x:c r="G11" s="27" t="str">
        <x:v>2</x:v>
      </x:c>
    </x:row>
    <x:row r="12" ht="68" customHeight="1">
      <x:c r="A12" s="27" t="str">
        <x:v>Controlled physical teardown</x:v>
      </x:c>
      <x:c r="B12" s="27" t="str">
        <x:v>True layer order, individual thickness, mass, fabric and spring construction</x:v>
      </x:c>
      <x:c r="C12" s="27" t="str">
        <x:v>Very high</x:v>
      </x:c>
      <x:c r="D12" s="27" t="str">
        <x:v>Photograph before cutting; mark orientation; remove and weigh each layer; retain labelled samples.</x:v>
      </x:c>
      <x:c r="E12" s="27" t="str">
        <x:v>One SKU per architecture and price tier</x:v>
      </x:c>
      <x:c r="F12" s="27" t="str">
        <x:v>Destructive and one unit may not represent all production lots</x:v>
      </x:c>
      <x:c r="G12" s="27" t="str">
        <x:v>1</x:v>
      </x:c>
    </x:row>
    <x:row r="13" ht="68" customHeight="1">
      <x:c r="A13" s="27" t="str">
        <x:v>Foam / material laboratory tests</x:v>
      </x:c>
      <x:c r="B13" s="27" t="str">
        <x:v>Density, IFD/ILD, resilience, compression set, airflow, thermal and chemical fingerprint</x:v>
      </x:c>
      <x:c r="C13" s="27" t="str">
        <x:v>Very high</x:v>
      </x:c>
      <x:c r="D13" s="27" t="str">
        <x:v>Test each retained layer under a defined protocol; use replicate specimens and report uncertainty.</x:v>
      </x:c>
      <x:c r="E13" s="27" t="str">
        <x:v>Density kg/m³; IFD 25/65%; compression set; FTIR/TGA/DSC</x:v>
      </x:c>
      <x:c r="F13" s="27" t="str">
        <x:v>Requires lab access and correct sampling</x:v>
      </x:c>
      <x:c r="G13" s="27" t="str">
        <x:v>1</x:v>
      </x:c>
    </x:row>
    <x:row r="14" ht="68" customHeight="1">
      <x:c r="A14" s="27" t="str">
        <x:v>Spring bench analysis</x:v>
      </x:c>
      <x:c r="B14" s="27" t="str">
        <x:v>Coil count, wire gauge, turns, height, zoning and fatigue</x:v>
      </x:c>
      <x:c r="C14" s="27" t="str">
        <x:v>Very high</x:v>
      </x:c>
      <x:c r="D14" s="27" t="str">
        <x:v>Measure unloaded/loaded height, gauge, count, pocket layout, edge system and cyclic response.</x:v>
      </x:c>
      <x:c r="E14" s="27" t="str">
        <x:v>Coils/m², mm gauge, force-deflection curve</x:v>
      </x:c>
      <x:c r="F14" s="27" t="str">
        <x:v>Destructive and equipment-intensive</x:v>
      </x:c>
      <x:c r="G14" s="27" t="str">
        <x:v>1</x:v>
      </x:c>
    </x:row>
  </x:sheetData>
  <x:conditionalFormatting sqref="G2:G14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{F28FB485-8DFF-F169-F583-2117F0C5D959}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2b910187329463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28FB485-8DFF-F169-F583-2117F0C5D959}">
            <x14:dataBar gradient="1">
              <x14:cfvo type="min"/>
              <x14:cfvo type="max"/>
              <x14:fillColor rgb="FF70AD47"/>
            </x14:dataBar>
          </x14:cfRule>
          <xm:sqref>G2:G14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40" hidden="0" customWidth="1"/>
    <x:col min="3" max="3" width="50" hidden="0" customWidth="1"/>
    <x:col min="4" max="4" width="20" hidden="0" customWidth="1"/>
    <x:col min="5" max="5" width="27" hidden="0" customWidth="1"/>
    <x:col min="6" max="6" width="38" hidden="0" customWidth="1"/>
    <x:col min="7" max="7" width="14" hidden="0" customWidth="1"/>
  </x:cols>
  <x:sheetData>
    <x:row r="1" ht="44" customHeight="1">
      <x:c r="A1" s="33" t="str">
        <x:v>Unknown specification</x:v>
      </x:c>
      <x:c r="B1" s="33" t="str">
        <x:v>Why it matters</x:v>
      </x:c>
      <x:c r="C1" s="33" t="str">
        <x:v>Measurement / test</x:v>
      </x:c>
      <x:c r="D1" s="33" t="str">
        <x:v>Output unit</x:v>
      </x:c>
      <x:c r="E1" s="33" t="str">
        <x:v>Minimum sampling plan</x:v>
      </x:c>
      <x:c r="F1" s="33" t="str">
        <x:v>Decision use</x:v>
      </x:c>
      <x:c r="G1" s="33" t="str">
        <x:v>Priority</x:v>
      </x:c>
    </x:row>
    <x:row r="2" ht="68" customHeight="1">
      <x:c r="A2" s="27" t="str">
        <x:v>Exact layer thickness</x:v>
      </x:c>
      <x:c r="B2" s="27" t="str">
        <x:v>Controls feel, cost and support transition</x:v>
      </x:c>
      <x:c r="C2" s="27" t="str">
        <x:v>Caliper at 9 points after 24 h conditioning</x:v>
      </x:c>
      <x:c r="D2" s="27" t="str">
        <x:v>mm</x:v>
      </x:c>
      <x:c r="E2" s="27" t="str">
        <x:v>3 specimens or mapped full layer</x:v>
      </x:c>
      <x:c r="F2" s="27" t="str">
        <x:v>Reconstruct geometry and material volume</x:v>
      </x:c>
      <x:c r="G2" s="27" t="str">
        <x:v>Critical</x:v>
      </x:c>
    </x:row>
    <x:row r="3" ht="68" customHeight="1">
      <x:c r="A3" s="27" t="str">
        <x:v>Foam density</x:v>
      </x:c>
      <x:c r="B3" s="27" t="str">
        <x:v>Strong predictor of cost and durability</x:v>
      </x:c>
      <x:c r="C3" s="27" t="str">
        <x:v>Mass / geometric volume after conditioning</x:v>
      </x:c>
      <x:c r="D3" s="27" t="str">
        <x:v>kg/m³</x:v>
      </x:c>
      <x:c r="E3" s="27" t="str">
        <x:v>3 pieces per layer</x:v>
      </x:c>
      <x:c r="F3" s="27" t="str">
        <x:v>Benchmark grade and estimate cost</x:v>
      </x:c>
      <x:c r="G3" s="27" t="str">
        <x:v>Critical</x:v>
      </x:c>
    </x:row>
    <x:row r="4" ht="68" customHeight="1">
      <x:c r="A4" s="27" t="str">
        <x:v>IFD / ILD curve</x:v>
      </x:c>
      <x:c r="B4" s="27" t="str">
        <x:v>Defines softness, support factor and zoning</x:v>
      </x:c>
      <x:c r="C4" s="27" t="str">
        <x:v>25%, 40% and 65% indentation force with dwell/recovery</x:v>
      </x:c>
      <x:c r="D4" s="27" t="str">
        <x:v>N or lbf</x:v>
      </x:c>
      <x:c r="E4" s="27" t="str">
        <x:v>5 specimens per foam/zone</x:v>
      </x:c>
      <x:c r="F4" s="27" t="str">
        <x:v>Match comfort and support response</x:v>
      </x:c>
      <x:c r="G4" s="27" t="str">
        <x:v>Critical</x:v>
      </x:c>
    </x:row>
    <x:row r="5" ht="68" customHeight="1">
      <x:c r="A5" s="27" t="str">
        <x:v>Compression set / cyclic fatigue</x:v>
      </x:c>
      <x:c r="B5" s="27" t="str">
        <x:v>Predicts sag and body impression</x:v>
      </x:c>
      <x:c r="C5" s="27" t="str">
        <x:v>Static compression set plus repeated-load fatigue</x:v>
      </x:c>
      <x:c r="D5" s="27" t="str">
        <x:v>% set / height loss</x:v>
      </x:c>
      <x:c r="E5" s="27" t="str">
        <x:v>3–5 specimens</x:v>
      </x:c>
      <x:c r="F5" s="27" t="str">
        <x:v>Screen durability and warranty risk</x:v>
      </x:c>
      <x:c r="G5" s="27" t="str">
        <x:v>Critical</x:v>
      </x:c>
    </x:row>
    <x:row r="6" ht="68" customHeight="1">
      <x:c r="A6" s="27" t="str">
        <x:v>Resilience / hysteresis</x:v>
      </x:c>
      <x:c r="B6" s="27" t="str">
        <x:v>Controls bounce, recovery and energy absorption</x:v>
      </x:c>
      <x:c r="C6" s="27" t="str">
        <x:v>Ball rebound and load-unload loop</x:v>
      </x:c>
      <x:c r="D6" s="27" t="str">
        <x:v>% / energy loss</x:v>
      </x:c>
      <x:c r="E6" s="27" t="str">
        <x:v>3–5 specimens</x:v>
      </x:c>
      <x:c r="F6" s="27" t="str">
        <x:v>Differentiate memory, HR, latex and grid behavior</x:v>
      </x:c>
      <x:c r="G6" s="27" t="str">
        <x:v>High</x:v>
      </x:c>
    </x:row>
    <x:row r="7" ht="68" customHeight="1">
      <x:c r="A7" s="27" t="str">
        <x:v>Airflow / permeability</x:v>
      </x:c>
      <x:c r="B7" s="27" t="str">
        <x:v>Controls heat and moisture transport</x:v>
      </x:c>
      <x:c r="C7" s="27" t="str">
        <x:v>Pressure-drop airflow through foam/fabric</x:v>
      </x:c>
      <x:c r="D7" s="27" t="str">
        <x:v>L/s or CFM at ΔP</x:v>
      </x:c>
      <x:c r="E7" s="27" t="str">
        <x:v>3 specimens</x:v>
      </x:c>
      <x:c r="F7" s="27" t="str">
        <x:v>Validate cooling claims</x:v>
      </x:c>
      <x:c r="G7" s="27" t="str">
        <x:v>High</x:v>
      </x:c>
    </x:row>
    <x:row r="8" ht="68" customHeight="1">
      <x:c r="A8" s="27" t="str">
        <x:v>Thermal performance</x:v>
      </x:c>
      <x:c r="B8" s="27" t="str">
        <x:v>Separates real cooling from surface-only sensation</x:v>
      </x:c>
      <x:c r="C8" s="27" t="str">
        <x:v>Guarded hot plate / thermal effusivity / body simulator</x:v>
      </x:c>
      <x:c r="D8" s="27" t="str">
        <x:v>W/mK, m²K/W, effusivity</x:v>
      </x:c>
      <x:c r="E8" s="27" t="str">
        <x:v>3 specimens + full mattress mapping</x:v>
      </x:c>
      <x:c r="F8" s="27" t="str">
        <x:v>Product design for Indian climate</x:v>
      </x:c>
      <x:c r="G8" s="27" t="str">
        <x:v>High</x:v>
      </x:c>
    </x:row>
    <x:row r="9" ht="68" customHeight="1">
      <x:c r="A9" s="27" t="str">
        <x:v>Foam chemistry / additives</x:v>
      </x:c>
      <x:c r="B9" s="27" t="str">
        <x:v>Identifies PU family, fillers, flame retardants and gel/additive clues</x:v>
      </x:c>
      <x:c r="C9" s="27" t="str">
        <x:v>FTIR plus TGA/DSC; GC-MS if necessary</x:v>
      </x:c>
      <x:c r="D9" s="27" t="str">
        <x:v>Spectra / mass % / Tg</x:v>
      </x:c>
      <x:c r="E9" s="27" t="str">
        <x:v>1–3 representative samples</x:v>
      </x:c>
      <x:c r="F9" s="27" t="str">
        <x:v>Supplier matching and IP-safe material selection</x:v>
      </x:c>
      <x:c r="G9" s="27" t="str">
        <x:v>High</x:v>
      </x:c>
    </x:row>
    <x:row r="10" ht="68" customHeight="1">
      <x:c r="A10" s="27" t="str">
        <x:v>Latex authenticity</x:v>
      </x:c>
      <x:c r="B10" s="27" t="str">
        <x:v>Validates natural-content and process claims</x:v>
      </x:c>
      <x:c r="C10" s="27" t="str">
        <x:v>FTIR, ash, density, microscopy and certificate verification</x:v>
      </x:c>
      <x:c r="D10" s="27" t="str">
        <x:v>% / qualitative</x:v>
      </x:c>
      <x:c r="E10" s="27" t="str">
        <x:v>3 samples</x:v>
      </x:c>
      <x:c r="F10" s="27" t="str">
        <x:v>Avoid misleading natural-latex claims</x:v>
      </x:c>
      <x:c r="G10" s="27" t="str">
        <x:v>High</x:v>
      </x:c>
    </x:row>
    <x:row r="11" ht="68" customHeight="1">
      <x:c r="A11" s="27" t="str">
        <x:v>Spring geometry</x:v>
      </x:c>
      <x:c r="B11" s="27" t="str">
        <x:v>Determines response, motion isolation and cost</x:v>
      </x:c>
      <x:c r="C11" s="27" t="str">
        <x:v>Count, gauge, turns, height, diameter, zoning and preload</x:v>
      </x:c>
      <x:c r="D11" s="27" t="str">
        <x:v>coils/m², mm</x:v>
      </x:c>
      <x:c r="E11" s="27" t="str">
        <x:v>Full spring unit</x:v>
      </x:c>
      <x:c r="F11" s="27" t="str">
        <x:v>Reverse-engineer support architecture</x:v>
      </x:c>
      <x:c r="G11" s="27" t="str">
        <x:v>Critical</x:v>
      </x:c>
    </x:row>
    <x:row r="12" ht="68" customHeight="1">
      <x:c r="A12" s="27" t="str">
        <x:v>Fabric construction</x:v>
      </x:c>
      <x:c r="B12" s="27" t="str">
        <x:v>Affects hand-feel, stretch, airflow and cost</x:v>
      </x:c>
      <x:c r="C12" s="27" t="str">
        <x:v>GSM, fibre identification, knit count, stretch, abrasion/pilling</x:v>
      </x:c>
      <x:c r="D12" s="27" t="str">
        <x:v>g/m², %, cycles</x:v>
      </x:c>
      <x:c r="E12" s="27" t="str">
        <x:v>3 locations</x:v>
      </x:c>
      <x:c r="F12" s="27" t="str">
        <x:v>Source equivalent ticking fabric</x:v>
      </x:c>
      <x:c r="G12" s="27" t="str">
        <x:v>Medium</x:v>
      </x:c>
    </x:row>
    <x:row r="13" ht="68" customHeight="1">
      <x:c r="A13" s="27" t="str">
        <x:v>Adhesive system</x:v>
      </x:c>
      <x:c r="B13" s="27" t="str">
        <x:v>Affects delamination, odour, stiffness and recyclability</x:v>
      </x:c>
      <x:c r="C13" s="27" t="str">
        <x:v>Peel test, coat weight, FTIR/VOC and ageing</x:v>
      </x:c>
      <x:c r="D13" s="27" t="str">
        <x:v>N/mm, g/m², VOC</x:v>
      </x:c>
      <x:c r="E13" s="27" t="str">
        <x:v>3 bonded interfaces</x:v>
      </x:c>
      <x:c r="F13" s="27" t="str">
        <x:v>Select lamination process and quality limits</x:v>
      </x:c>
      <x:c r="G13" s="27" t="str">
        <x:v>High</x:v>
      </x:c>
    </x:row>
    <x:row r="14" ht="68" customHeight="1">
      <x:c r="A14" s="27" t="str">
        <x:v>Full-mattress pressure map</x:v>
      </x:c>
      <x:c r="B14" s="27" t="str">
        <x:v>Validates body support by sleeper type</x:v>
      </x:c>
      <x:c r="C14" s="27" t="str">
        <x:v>Pressure mapping with multiple anthropometric mannequins/subjects</x:v>
      </x:c>
      <x:c r="D14" s="27" t="str">
        <x:v>kPa, contact area</x:v>
      </x:c>
      <x:c r="E14" s="27" t="str">
        <x:v>At least 5 body profiles</x:v>
      </x:c>
      <x:c r="F14" s="27" t="str">
        <x:v>Convert material stack into use-case claims</x:v>
      </x:c>
      <x:c r="G14" s="27" t="str">
        <x:v>Critical</x:v>
      </x:c>
    </x:row>
    <x:row r="15" ht="68" customHeight="1">
      <x:c r="A15" s="27" t="str">
        <x:v>Edge support</x:v>
      </x:c>
      <x:c r="B15" s="27" t="str">
        <x:v>Affects usable area and ingress/egress</x:v>
      </x:c>
      <x:c r="C15" s="27" t="str">
        <x:v>Edge compression at fixed offset and cyclic sitting</x:v>
      </x:c>
      <x:c r="D15" s="27" t="str">
        <x:v>N, deflection, loss %</x:v>
      </x:c>
      <x:c r="E15" s="27" t="str">
        <x:v>4 sides / 3 points each</x:v>
      </x:c>
      <x:c r="F15" s="27" t="str">
        <x:v>Couples, elderly and premium segment design</x:v>
      </x:c>
      <x:c r="G15" s="27" t="str">
        <x:v>High</x:v>
      </x:c>
    </x:row>
    <x:row r="16" ht="68" customHeight="1">
      <x:c r="A16" s="27" t="str">
        <x:v>Bill-of-material cost</x:v>
      </x:c>
      <x:c r="B16" s="27" t="str">
        <x:v>Turns engineering into commercial benchmarking</x:v>
      </x:c>
      <x:c r="C16" s="27" t="str">
        <x:v>Volume × density × supplier rate + conversion + wastage</x:v>
      </x:c>
      <x:c r="D16" s="27" t="str">
        <x:v>₹/unit</x:v>
      </x:c>
      <x:c r="E16" s="27" t="str">
        <x:v>Every layer and component</x:v>
      </x:c>
      <x:c r="F16" s="27" t="str">
        <x:v>Target price and gross-margin model</x:v>
      </x:c>
      <x:c r="G16" s="27" t="str">
        <x:v>Critical</x:v>
      </x:c>
    </x:row>
  </x:sheetData>
  <x:conditionalFormatting sqref="G2:G16">
    <x:cfRule type="expression" dxfId="5" priority="1">
      <x:formula>G2="Critical"</x:formula>
    </x:cfRule>
    <x:cfRule type="expression" dxfId="6" priority="2">
      <x:formula>G2="High"</x:formula>
    </x:cfRule>
    <x:cfRule type="expression" dxfId="7" priority="3">
      <x:formula>G2="Medium"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4ddb375e1ec4368"/>
  </x:tableParts>
</x:worksheet>
</file>